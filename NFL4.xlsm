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geissler\Desktop\"/>
    </mc:Choice>
  </mc:AlternateContent>
  <xr:revisionPtr revIDLastSave="0" documentId="13_ncr:1_{7FB182FC-694F-4305-8B24-AF9496458D40}" xr6:coauthVersionLast="47" xr6:coauthVersionMax="47" xr10:uidLastSave="{00000000-0000-0000-0000-000000000000}"/>
  <bookViews>
    <workbookView xWindow="-108" yWindow="-108" windowWidth="23256" windowHeight="12576" xr2:uid="{4202D452-672B-4003-BFE4-64FA44DB68FA}"/>
  </bookViews>
  <sheets>
    <sheet name="Game" sheetId="1" r:id="rId1"/>
    <sheet name="Reference_Inputs" sheetId="2" r:id="rId2"/>
    <sheet name="Pass" sheetId="4" r:id="rId3"/>
    <sheet name="Run" sheetId="5" r:id="rId4"/>
    <sheet name="Field_Goal" sheetId="6" r:id="rId5"/>
    <sheet name="Punt" sheetId="7" r:id="rId6"/>
    <sheet name="Percentages" sheetId="3" r:id="rId7"/>
  </sheets>
  <functionGroups builtInGroupCount="19"/>
  <definedNames>
    <definedName name="_xlnm._FilterDatabase" localSheetId="1" hidden="1">Reference_Inputs!$A$1:$AB$33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1" l="1"/>
  <c r="N1" i="1" s="1"/>
  <c r="I1" i="1"/>
  <c r="M1" i="1" s="1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O5" i="5"/>
  <c r="O4" i="5"/>
  <c r="O3" i="5"/>
  <c r="O2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U33" i="4"/>
  <c r="U32" i="4"/>
  <c r="U31" i="4"/>
  <c r="U30" i="4"/>
  <c r="U29" i="4"/>
  <c r="U28" i="4"/>
  <c r="U27" i="4"/>
  <c r="U26" i="4"/>
  <c r="V26" i="4" s="1"/>
  <c r="U25" i="4"/>
  <c r="U24" i="4"/>
  <c r="U23" i="4"/>
  <c r="U22" i="4"/>
  <c r="U21" i="4"/>
  <c r="U20" i="4"/>
  <c r="V20" i="4" s="1"/>
  <c r="U19" i="4"/>
  <c r="U18" i="4"/>
  <c r="U17" i="4"/>
  <c r="U16" i="4"/>
  <c r="U15" i="4"/>
  <c r="U14" i="4"/>
  <c r="V14" i="4" s="1"/>
  <c r="U13" i="4"/>
  <c r="U12" i="4"/>
  <c r="U11" i="4"/>
  <c r="U10" i="4"/>
  <c r="U9" i="4"/>
  <c r="U8" i="4"/>
  <c r="V8" i="4" s="1"/>
  <c r="U7" i="4"/>
  <c r="U6" i="4"/>
  <c r="U5" i="4"/>
  <c r="U4" i="4"/>
  <c r="U3" i="4"/>
  <c r="T2" i="4"/>
  <c r="V2" i="4" s="1"/>
  <c r="U2" i="4"/>
  <c r="T33" i="4"/>
  <c r="T32" i="4"/>
  <c r="T31" i="4"/>
  <c r="V31" i="4" s="1"/>
  <c r="T30" i="4"/>
  <c r="V30" i="4" s="1"/>
  <c r="T29" i="4"/>
  <c r="T28" i="4"/>
  <c r="V28" i="4" s="1"/>
  <c r="T27" i="4"/>
  <c r="V27" i="4" s="1"/>
  <c r="T26" i="4"/>
  <c r="T25" i="4"/>
  <c r="V25" i="4" s="1"/>
  <c r="T24" i="4"/>
  <c r="V24" i="4" s="1"/>
  <c r="T23" i="4"/>
  <c r="V23" i="4" s="1"/>
  <c r="T22" i="4"/>
  <c r="T21" i="4"/>
  <c r="T20" i="4"/>
  <c r="T19" i="4"/>
  <c r="V19" i="4" s="1"/>
  <c r="T18" i="4"/>
  <c r="V18" i="4" s="1"/>
  <c r="T17" i="4"/>
  <c r="T16" i="4"/>
  <c r="V16" i="4" s="1"/>
  <c r="T15" i="4"/>
  <c r="V15" i="4" s="1"/>
  <c r="T14" i="4"/>
  <c r="T13" i="4"/>
  <c r="V13" i="4" s="1"/>
  <c r="T12" i="4"/>
  <c r="V12" i="4" s="1"/>
  <c r="T11" i="4"/>
  <c r="V11" i="4" s="1"/>
  <c r="T10" i="4"/>
  <c r="T9" i="4"/>
  <c r="T8" i="4"/>
  <c r="T7" i="4"/>
  <c r="V7" i="4" s="1"/>
  <c r="T6" i="4"/>
  <c r="V6" i="4" s="1"/>
  <c r="T5" i="4"/>
  <c r="T4" i="4"/>
  <c r="V4" i="4" s="1"/>
  <c r="T3" i="4"/>
  <c r="V3" i="4" s="1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O33" i="6"/>
  <c r="N33" i="6"/>
  <c r="M33" i="6"/>
  <c r="O32" i="6"/>
  <c r="N32" i="6"/>
  <c r="M32" i="6"/>
  <c r="O31" i="6"/>
  <c r="N31" i="6"/>
  <c r="M31" i="6"/>
  <c r="O30" i="6"/>
  <c r="N30" i="6"/>
  <c r="M30" i="6"/>
  <c r="O29" i="6"/>
  <c r="N29" i="6"/>
  <c r="M29" i="6"/>
  <c r="O28" i="6"/>
  <c r="N28" i="6"/>
  <c r="M28" i="6"/>
  <c r="O27" i="6"/>
  <c r="N27" i="6"/>
  <c r="M27" i="6"/>
  <c r="O26" i="6"/>
  <c r="N26" i="6"/>
  <c r="M26" i="6"/>
  <c r="O25" i="6"/>
  <c r="N25" i="6"/>
  <c r="M25" i="6"/>
  <c r="O24" i="6"/>
  <c r="N24" i="6"/>
  <c r="M24" i="6"/>
  <c r="O23" i="6"/>
  <c r="N23" i="6"/>
  <c r="M23" i="6"/>
  <c r="O22" i="6"/>
  <c r="N22" i="6"/>
  <c r="M22" i="6"/>
  <c r="O21" i="6"/>
  <c r="N21" i="6"/>
  <c r="M21" i="6"/>
  <c r="O20" i="6"/>
  <c r="N20" i="6"/>
  <c r="M20" i="6"/>
  <c r="O19" i="6"/>
  <c r="N19" i="6"/>
  <c r="M19" i="6"/>
  <c r="O18" i="6"/>
  <c r="N18" i="6"/>
  <c r="M18" i="6"/>
  <c r="O17" i="6"/>
  <c r="N17" i="6"/>
  <c r="M17" i="6"/>
  <c r="O16" i="6"/>
  <c r="N16" i="6"/>
  <c r="M16" i="6"/>
  <c r="O15" i="6"/>
  <c r="N15" i="6"/>
  <c r="M15" i="6"/>
  <c r="O14" i="6"/>
  <c r="N14" i="6"/>
  <c r="M14" i="6"/>
  <c r="O13" i="6"/>
  <c r="N13" i="6"/>
  <c r="M13" i="6"/>
  <c r="O12" i="6"/>
  <c r="N12" i="6"/>
  <c r="M12" i="6"/>
  <c r="O11" i="6"/>
  <c r="N11" i="6"/>
  <c r="M11" i="6"/>
  <c r="O10" i="6"/>
  <c r="N10" i="6"/>
  <c r="M10" i="6"/>
  <c r="O9" i="6"/>
  <c r="N9" i="6"/>
  <c r="M9" i="6"/>
  <c r="O8" i="6"/>
  <c r="N8" i="6"/>
  <c r="M8" i="6"/>
  <c r="O7" i="6"/>
  <c r="N7" i="6"/>
  <c r="M7" i="6"/>
  <c r="O6" i="6"/>
  <c r="N6" i="6"/>
  <c r="M6" i="6"/>
  <c r="O5" i="6"/>
  <c r="N5" i="6"/>
  <c r="M5" i="6"/>
  <c r="O4" i="6"/>
  <c r="N4" i="6"/>
  <c r="M4" i="6"/>
  <c r="O3" i="6"/>
  <c r="N3" i="6"/>
  <c r="M3" i="6"/>
  <c r="O2" i="6"/>
  <c r="N2" i="6"/>
  <c r="M2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F33" i="3"/>
  <c r="B33" i="3" s="1"/>
  <c r="F32" i="3"/>
  <c r="F31" i="3"/>
  <c r="B31" i="3" s="1"/>
  <c r="F30" i="3"/>
  <c r="B30" i="3" s="1"/>
  <c r="F29" i="3"/>
  <c r="B29" i="3" s="1"/>
  <c r="F28" i="3"/>
  <c r="F27" i="3"/>
  <c r="B27" i="3" s="1"/>
  <c r="F26" i="3"/>
  <c r="B26" i="3" s="1"/>
  <c r="F25" i="3"/>
  <c r="B25" i="3" s="1"/>
  <c r="F24" i="3"/>
  <c r="B24" i="3" s="1"/>
  <c r="F23" i="3"/>
  <c r="B23" i="3" s="1"/>
  <c r="F22" i="3"/>
  <c r="B22" i="3" s="1"/>
  <c r="F21" i="3"/>
  <c r="B21" i="3" s="1"/>
  <c r="F20" i="3"/>
  <c r="F19" i="3"/>
  <c r="B19" i="3" s="1"/>
  <c r="F18" i="3"/>
  <c r="B18" i="3" s="1"/>
  <c r="F17" i="3"/>
  <c r="B17" i="3" s="1"/>
  <c r="F16" i="3"/>
  <c r="F15" i="3"/>
  <c r="B15" i="3" s="1"/>
  <c r="F14" i="3"/>
  <c r="F13" i="3"/>
  <c r="B13" i="3" s="1"/>
  <c r="F12" i="3"/>
  <c r="B12" i="3" s="1"/>
  <c r="F11" i="3"/>
  <c r="B11" i="3" s="1"/>
  <c r="F10" i="3"/>
  <c r="B10" i="3" s="1"/>
  <c r="F9" i="3"/>
  <c r="B9" i="3" s="1"/>
  <c r="F8" i="3"/>
  <c r="F7" i="3"/>
  <c r="B7" i="3" s="1"/>
  <c r="F6" i="3"/>
  <c r="B6" i="3" s="1"/>
  <c r="F5" i="3"/>
  <c r="B5" i="3" s="1"/>
  <c r="F4" i="3"/>
  <c r="B4" i="3" s="1"/>
  <c r="F3" i="3"/>
  <c r="B3" i="3" s="1"/>
  <c r="B32" i="3"/>
  <c r="B28" i="3"/>
  <c r="B20" i="3"/>
  <c r="B16" i="3"/>
  <c r="B14" i="3"/>
  <c r="B8" i="3"/>
  <c r="F2" i="3"/>
  <c r="B2" i="3" s="1"/>
  <c r="V10" i="4" l="1"/>
  <c r="V22" i="4"/>
  <c r="V9" i="4"/>
  <c r="V21" i="4"/>
  <c r="V33" i="4"/>
  <c r="V5" i="4"/>
  <c r="V17" i="4"/>
  <c r="V29" i="4"/>
  <c r="V32" i="4"/>
</calcChain>
</file>

<file path=xl/sharedStrings.xml><?xml version="1.0" encoding="utf-8"?>
<sst xmlns="http://schemas.openxmlformats.org/spreadsheetml/2006/main" count="552" uniqueCount="238">
  <si>
    <t>Dallas Cowboys</t>
  </si>
  <si>
    <t>Tampa Bay Buccaneers</t>
  </si>
  <si>
    <t>Buffalo Bills</t>
  </si>
  <si>
    <t>Kansas City Chiefs</t>
  </si>
  <si>
    <t>Los Angeles Chargers</t>
  </si>
  <si>
    <t>New England Patriots</t>
  </si>
  <si>
    <t>Cincinnati Bengals</t>
  </si>
  <si>
    <t>Los Angeles Rams</t>
  </si>
  <si>
    <t>Indianapolis Colts</t>
  </si>
  <si>
    <t>Green Bay Packers</t>
  </si>
  <si>
    <t>Arizona Cardinals</t>
  </si>
  <si>
    <t>Philadelphia Eagles</t>
  </si>
  <si>
    <t>San Francisco 49ers</t>
  </si>
  <si>
    <t>Minnesota Vikings</t>
  </si>
  <si>
    <t>Tennessee Titans</t>
  </si>
  <si>
    <t>Seattle Seahawks</t>
  </si>
  <si>
    <t>Baltimore Ravens</t>
  </si>
  <si>
    <t>Las Vegas Raiders</t>
  </si>
  <si>
    <t>New Orleans Saints</t>
  </si>
  <si>
    <t>Cleveland Browns</t>
  </si>
  <si>
    <t>Pittsburgh Steelers</t>
  </si>
  <si>
    <t>Miami Dolphins</t>
  </si>
  <si>
    <t>Denver Broncos</t>
  </si>
  <si>
    <t>Washington Football Team</t>
  </si>
  <si>
    <t>Detroit Lions</t>
  </si>
  <si>
    <t>Atlanta Falcons</t>
  </si>
  <si>
    <t>Chicago Bears</t>
  </si>
  <si>
    <t>New York Jets</t>
  </si>
  <si>
    <t>Carolina Panthers</t>
  </si>
  <si>
    <t>Houston Texans</t>
  </si>
  <si>
    <t>New York Giants</t>
  </si>
  <si>
    <t>Jacksonville Jaguars</t>
  </si>
  <si>
    <t>Rk</t>
  </si>
  <si>
    <t>Tm</t>
  </si>
  <si>
    <t>G</t>
  </si>
  <si>
    <t>PF</t>
  </si>
  <si>
    <t>Yds</t>
  </si>
  <si>
    <t>Ply</t>
  </si>
  <si>
    <t>Y/P</t>
  </si>
  <si>
    <t>TO</t>
  </si>
  <si>
    <t>FL</t>
  </si>
  <si>
    <t>1stD</t>
  </si>
  <si>
    <t>Cmp</t>
  </si>
  <si>
    <t>Att</t>
  </si>
  <si>
    <t>TD</t>
  </si>
  <si>
    <t>Int</t>
  </si>
  <si>
    <t>NY/A</t>
  </si>
  <si>
    <t>Y/A</t>
  </si>
  <si>
    <t>Pen</t>
  </si>
  <si>
    <t>1stPy</t>
  </si>
  <si>
    <t>Sc%</t>
  </si>
  <si>
    <t>TO%</t>
  </si>
  <si>
    <t>EXP</t>
  </si>
  <si>
    <t>Team</t>
  </si>
  <si>
    <t>Pass_Percentage</t>
  </si>
  <si>
    <t>Run_Percentage</t>
  </si>
  <si>
    <t>Pass_Interception_Percentage</t>
  </si>
  <si>
    <t>Pass_Mean</t>
  </si>
  <si>
    <t>Pass_SD</t>
  </si>
  <si>
    <t>Run_Fumble_Percentage</t>
  </si>
  <si>
    <t>Cmp %</t>
  </si>
  <si>
    <t>Yds/Att</t>
  </si>
  <si>
    <t>Pass Yds</t>
  </si>
  <si>
    <t>INT</t>
  </si>
  <si>
    <t>Rate</t>
  </si>
  <si>
    <t>1st</t>
  </si>
  <si>
    <t>1st%</t>
  </si>
  <si>
    <t>20+</t>
  </si>
  <si>
    <t>40+</t>
  </si>
  <si>
    <t>Lng</t>
  </si>
  <si>
    <t>Sck</t>
  </si>
  <si>
    <t>SckY</t>
  </si>
  <si>
    <t>Buccaneers</t>
  </si>
  <si>
    <t>62T</t>
  </si>
  <si>
    <t>Chiefs</t>
  </si>
  <si>
    <t>75T</t>
  </si>
  <si>
    <t>Chargers</t>
  </si>
  <si>
    <t>72T</t>
  </si>
  <si>
    <t>Steelers</t>
  </si>
  <si>
    <t>Bills</t>
  </si>
  <si>
    <t>Cowboys</t>
  </si>
  <si>
    <t>73T</t>
  </si>
  <si>
    <t>Raiders</t>
  </si>
  <si>
    <t>61T</t>
  </si>
  <si>
    <t>Dolphins</t>
  </si>
  <si>
    <t>65T</t>
  </si>
  <si>
    <t>Ravens</t>
  </si>
  <si>
    <t>49T</t>
  </si>
  <si>
    <t>Rams</t>
  </si>
  <si>
    <t>79T</t>
  </si>
  <si>
    <t>Vikings</t>
  </si>
  <si>
    <t>64T</t>
  </si>
  <si>
    <t>Jaguars</t>
  </si>
  <si>
    <t>Jets</t>
  </si>
  <si>
    <t>Panthers</t>
  </si>
  <si>
    <t>Giants</t>
  </si>
  <si>
    <t>Packers</t>
  </si>
  <si>
    <t>Lions</t>
  </si>
  <si>
    <t>Cardinals</t>
  </si>
  <si>
    <t>77T</t>
  </si>
  <si>
    <t>Falcons</t>
  </si>
  <si>
    <t>Bengals</t>
  </si>
  <si>
    <t>82T</t>
  </si>
  <si>
    <t>Football Team</t>
  </si>
  <si>
    <t>Texans</t>
  </si>
  <si>
    <t>67T</t>
  </si>
  <si>
    <t>Bears</t>
  </si>
  <si>
    <t>Broncos</t>
  </si>
  <si>
    <t>Patriots</t>
  </si>
  <si>
    <t>Titans</t>
  </si>
  <si>
    <t>57T</t>
  </si>
  <si>
    <t>Colts</t>
  </si>
  <si>
    <t>76T</t>
  </si>
  <si>
    <t>Browns</t>
  </si>
  <si>
    <t>71T</t>
  </si>
  <si>
    <t>49ers</t>
  </si>
  <si>
    <t>Saints</t>
  </si>
  <si>
    <t>Seahawks</t>
  </si>
  <si>
    <t>84T</t>
  </si>
  <si>
    <t>Eagles</t>
  </si>
  <si>
    <t>Rush Yds</t>
  </si>
  <si>
    <t>YPC</t>
  </si>
  <si>
    <t>Rush 1st</t>
  </si>
  <si>
    <t>Rush 1st%</t>
  </si>
  <si>
    <t>Rush FUM</t>
  </si>
  <si>
    <t>46T</t>
  </si>
  <si>
    <t>70T</t>
  </si>
  <si>
    <t>55T</t>
  </si>
  <si>
    <t>51T</t>
  </si>
  <si>
    <t>58T</t>
  </si>
  <si>
    <t>66T</t>
  </si>
  <si>
    <t>44T</t>
  </si>
  <si>
    <t>37T</t>
  </si>
  <si>
    <t>FGM</t>
  </si>
  <si>
    <t>FG %</t>
  </si>
  <si>
    <t>1-19 &gt; A-M</t>
  </si>
  <si>
    <t>20-29 &gt; A-M</t>
  </si>
  <si>
    <t>30-39 &gt; A-M</t>
  </si>
  <si>
    <t>40-49 &gt; A-M</t>
  </si>
  <si>
    <t>50+ &gt; A-M</t>
  </si>
  <si>
    <t>FG Blk</t>
  </si>
  <si>
    <t>0_0</t>
  </si>
  <si>
    <t>7_7</t>
  </si>
  <si>
    <t>6_6</t>
  </si>
  <si>
    <t>13_9</t>
  </si>
  <si>
    <t>6_5</t>
  </si>
  <si>
    <t>10_10</t>
  </si>
  <si>
    <t>5_5</t>
  </si>
  <si>
    <t>13_11</t>
  </si>
  <si>
    <t>2_0</t>
  </si>
  <si>
    <t>9_9</t>
  </si>
  <si>
    <t>9_6</t>
  </si>
  <si>
    <t>11_9</t>
  </si>
  <si>
    <t>15_15</t>
  </si>
  <si>
    <t>8_7</t>
  </si>
  <si>
    <t>5_4</t>
  </si>
  <si>
    <t>4_2</t>
  </si>
  <si>
    <t>8_8</t>
  </si>
  <si>
    <t>9_5</t>
  </si>
  <si>
    <t>3_3</t>
  </si>
  <si>
    <t>10_4</t>
  </si>
  <si>
    <t>4_4</t>
  </si>
  <si>
    <t>11_11</t>
  </si>
  <si>
    <t>10_7</t>
  </si>
  <si>
    <t>5_3</t>
  </si>
  <si>
    <t>1_1</t>
  </si>
  <si>
    <t>9_8</t>
  </si>
  <si>
    <t>3_1</t>
  </si>
  <si>
    <t>14_13</t>
  </si>
  <si>
    <t>9_7</t>
  </si>
  <si>
    <t>15_13</t>
  </si>
  <si>
    <t>16_15</t>
  </si>
  <si>
    <t>5_2</t>
  </si>
  <si>
    <t>10_8</t>
  </si>
  <si>
    <t>6_2</t>
  </si>
  <si>
    <t>13_10</t>
  </si>
  <si>
    <t>7_6</t>
  </si>
  <si>
    <t>14_10</t>
  </si>
  <si>
    <t>4_3</t>
  </si>
  <si>
    <t>13_12</t>
  </si>
  <si>
    <t>8_4</t>
  </si>
  <si>
    <t>8_5</t>
  </si>
  <si>
    <t>4_1</t>
  </si>
  <si>
    <t>12_10</t>
  </si>
  <si>
    <t>11_10</t>
  </si>
  <si>
    <t>12_12</t>
  </si>
  <si>
    <t>2_2</t>
  </si>
  <si>
    <t>6_3</t>
  </si>
  <si>
    <t>14_8</t>
  </si>
  <si>
    <t>12_11</t>
  </si>
  <si>
    <t>1-19 %</t>
  </si>
  <si>
    <t>20-29 %</t>
  </si>
  <si>
    <t>30-39 %</t>
  </si>
  <si>
    <t>40-49 %</t>
  </si>
  <si>
    <t>50&gt;%</t>
  </si>
  <si>
    <t>Incomplete_percentage</t>
  </si>
  <si>
    <t>0-20%</t>
  </si>
  <si>
    <t>20-40%</t>
  </si>
  <si>
    <t>40&gt;%</t>
  </si>
  <si>
    <t>Intercept%</t>
  </si>
  <si>
    <t>Fumble%</t>
  </si>
  <si>
    <t>Net Avg</t>
  </si>
  <si>
    <t>Net Yds</t>
  </si>
  <si>
    <t>Punts</t>
  </si>
  <si>
    <t>Avg</t>
  </si>
  <si>
    <t>IN 20</t>
  </si>
  <si>
    <t>OOB</t>
  </si>
  <si>
    <t>Dn</t>
  </si>
  <si>
    <t>TB</t>
  </si>
  <si>
    <t>FC</t>
  </si>
  <si>
    <t>Ret</t>
  </si>
  <si>
    <t>RetY</t>
  </si>
  <si>
    <t>P Blk</t>
  </si>
  <si>
    <t>E(X|X between 0-20)</t>
  </si>
  <si>
    <t>TeamOne</t>
  </si>
  <si>
    <t>TeamTwo</t>
  </si>
  <si>
    <t>Plays</t>
  </si>
  <si>
    <t>Box Score</t>
  </si>
  <si>
    <t>Total Yards</t>
  </si>
  <si>
    <t>Pass Yards</t>
  </si>
  <si>
    <t>Run Yards</t>
  </si>
  <si>
    <t>Completion %</t>
  </si>
  <si>
    <t>Turnovers</t>
  </si>
  <si>
    <t>Safeties</t>
  </si>
  <si>
    <t>Total Plays</t>
  </si>
  <si>
    <t>Biggest Play</t>
  </si>
  <si>
    <t>Total</t>
  </si>
  <si>
    <t>Number Passes</t>
  </si>
  <si>
    <t>Passes</t>
  </si>
  <si>
    <t>Number Runs</t>
  </si>
  <si>
    <t>Runs</t>
  </si>
  <si>
    <t>Yards Per Pass</t>
  </si>
  <si>
    <t>Yards Per Run</t>
  </si>
  <si>
    <t>Simulations</t>
  </si>
  <si>
    <t>Wins</t>
  </si>
  <si>
    <t>Wins%</t>
  </si>
  <si>
    <t>ScoreDifferential Average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</si>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</sst>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0000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.6"/>
      <color rgb="FF000000"/>
      <name val="Verdana"/>
      <family val="2"/>
    </font>
    <font>
      <u/>
      <sz val="11"/>
      <color theme="10"/>
      <name val="Calibri"/>
      <family val="2"/>
      <scheme val="minor"/>
    </font>
    <font>
      <b/>
      <sz val="8.6"/>
      <color rgb="FF000000"/>
      <name val="Verdana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66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 style="medium">
        <color rgb="FF747678"/>
      </top>
      <bottom style="dotted">
        <color rgb="FFDDDDDD"/>
      </bottom>
      <diagonal/>
    </border>
    <border>
      <left style="medium">
        <color rgb="FFDDDDDD"/>
      </left>
      <right/>
      <top style="medium">
        <color rgb="FF747678"/>
      </top>
      <bottom style="dotted">
        <color rgb="FFDDDDDD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dotted">
        <color rgb="FFDDDDDD"/>
      </bottom>
      <diagonal/>
    </border>
    <border>
      <left/>
      <right/>
      <top/>
      <bottom style="dotted">
        <color rgb="FFDDDDDD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 style="medium">
        <color rgb="FF747678"/>
      </right>
      <top/>
      <bottom/>
      <diagonal/>
    </border>
    <border>
      <left/>
      <right/>
      <top style="medium">
        <color rgb="FF747678"/>
      </top>
      <bottom/>
      <diagonal/>
    </border>
    <border>
      <left style="medium">
        <color rgb="FFDDDDDD"/>
      </left>
      <right/>
      <top style="medium">
        <color rgb="FF747678"/>
      </top>
      <bottom/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2" fillId="3" borderId="2" xfId="0" applyFont="1" applyFill="1" applyBorder="1" applyAlignment="1">
      <alignment horizontal="right" vertical="center"/>
    </xf>
    <xf numFmtId="0" fontId="3" fillId="3" borderId="3" xfId="2" applyFill="1" applyBorder="1" applyAlignment="1">
      <alignment horizontal="lef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4" xfId="0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right" vertical="center"/>
    </xf>
    <xf numFmtId="0" fontId="3" fillId="3" borderId="1" xfId="2" applyFill="1" applyBorder="1" applyAlignment="1">
      <alignment horizontal="left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6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3" fillId="3" borderId="7" xfId="2" applyFill="1" applyBorder="1" applyAlignment="1">
      <alignment horizontal="left" vertical="center"/>
    </xf>
    <xf numFmtId="0" fontId="2" fillId="3" borderId="7" xfId="0" applyFont="1" applyFill="1" applyBorder="1" applyAlignment="1">
      <alignment horizontal="right" vertical="center"/>
    </xf>
    <xf numFmtId="0" fontId="2" fillId="3" borderId="8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9" fontId="0" fillId="0" borderId="0" xfId="1" applyFont="1"/>
    <xf numFmtId="2" fontId="0" fillId="0" borderId="0" xfId="1" applyNumberFormat="1" applyFont="1"/>
    <xf numFmtId="164" fontId="0" fillId="0" borderId="0" xfId="1" applyNumberFormat="1" applyFont="1"/>
    <xf numFmtId="2" fontId="0" fillId="0" borderId="0" xfId="0" applyNumberFormat="1"/>
    <xf numFmtId="9" fontId="0" fillId="0" borderId="0" xfId="0" applyNumberFormat="1"/>
    <xf numFmtId="165" fontId="0" fillId="0" borderId="0" xfId="1" applyNumberFormat="1" applyFont="1"/>
    <xf numFmtId="0" fontId="0" fillId="3" borderId="0" xfId="0" applyFill="1"/>
    <xf numFmtId="1" fontId="0" fillId="3" borderId="0" xfId="0" applyNumberFormat="1" applyFill="1"/>
    <xf numFmtId="9" fontId="0" fillId="3" borderId="0" xfId="1" applyFont="1" applyFill="1"/>
    <xf numFmtId="0" fontId="5" fillId="3" borderId="0" xfId="0" applyFont="1" applyFill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22860</xdr:rowOff>
        </xdr:from>
        <xdr:to>
          <xdr:col>5</xdr:col>
          <xdr:colOff>571500</xdr:colOff>
          <xdr:row>3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one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175260</xdr:rowOff>
        </xdr:from>
        <xdr:to>
          <xdr:col>11</xdr:col>
          <xdr:colOff>1546860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Simulate 100 games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4099" name="AutoShape 3">
          <a:extLst>
            <a:ext uri="{FF2B5EF4-FFF2-40B4-BE49-F238E27FC236}">
              <a16:creationId xmlns:a16="http://schemas.microsoft.com/office/drawing/2014/main" id="{00000000-0008-0000-02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4116" name="AutoShape 20">
          <a:extLst>
            <a:ext uri="{FF2B5EF4-FFF2-40B4-BE49-F238E27FC236}">
              <a16:creationId xmlns:a16="http://schemas.microsoft.com/office/drawing/2014/main" id="{00000000-0008-0000-0200-00001410000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114300</xdr:rowOff>
    </xdr:to>
    <xdr:sp macro="" textlink="">
      <xdr:nvSpPr>
        <xdr:cNvPr id="4119" name="AutoShape 23">
          <a:extLst>
            <a:ext uri="{FF2B5EF4-FFF2-40B4-BE49-F238E27FC236}">
              <a16:creationId xmlns:a16="http://schemas.microsoft.com/office/drawing/2014/main" id="{00000000-0008-0000-0200-000017100000}"/>
            </a:ext>
          </a:extLst>
        </xdr:cNvPr>
        <xdr:cNvSpPr>
          <a:spLocks noChangeAspect="1" noChangeArrowheads="1"/>
        </xdr:cNvSpPr>
      </xdr:nvSpPr>
      <xdr:spPr bwMode="auto">
        <a:xfrm>
          <a:off x="0" y="899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ro-football-reference.com/teams/sfo/2021.htm" TargetMode="External"/><Relationship Id="rId18" Type="http://schemas.openxmlformats.org/officeDocument/2006/relationships/hyperlink" Target="https://www.pro-football-reference.com/teams/rai/2021.htm" TargetMode="External"/><Relationship Id="rId26" Type="http://schemas.openxmlformats.org/officeDocument/2006/relationships/hyperlink" Target="https://www.pro-football-reference.com/teams/atl/2021.htm" TargetMode="External"/><Relationship Id="rId3" Type="http://schemas.openxmlformats.org/officeDocument/2006/relationships/hyperlink" Target="https://www.pro-football-reference.com/teams/buf/2021.htm" TargetMode="External"/><Relationship Id="rId21" Type="http://schemas.openxmlformats.org/officeDocument/2006/relationships/hyperlink" Target="https://www.pro-football-reference.com/teams/pit/2021.htm" TargetMode="External"/><Relationship Id="rId7" Type="http://schemas.openxmlformats.org/officeDocument/2006/relationships/hyperlink" Target="https://www.pro-football-reference.com/teams/cin/2021.htm" TargetMode="External"/><Relationship Id="rId12" Type="http://schemas.openxmlformats.org/officeDocument/2006/relationships/hyperlink" Target="https://www.pro-football-reference.com/teams/phi/2021.htm" TargetMode="External"/><Relationship Id="rId17" Type="http://schemas.openxmlformats.org/officeDocument/2006/relationships/hyperlink" Target="https://www.pro-football-reference.com/teams/rav/2021.htm" TargetMode="External"/><Relationship Id="rId25" Type="http://schemas.openxmlformats.org/officeDocument/2006/relationships/hyperlink" Target="https://www.pro-football-reference.com/teams/det/2021.htm" TargetMode="External"/><Relationship Id="rId33" Type="http://schemas.openxmlformats.org/officeDocument/2006/relationships/printerSettings" Target="../printerSettings/printerSettings2.bin"/><Relationship Id="rId2" Type="http://schemas.openxmlformats.org/officeDocument/2006/relationships/hyperlink" Target="https://www.pro-football-reference.com/teams/tam/2021.htm" TargetMode="External"/><Relationship Id="rId16" Type="http://schemas.openxmlformats.org/officeDocument/2006/relationships/hyperlink" Target="https://www.pro-football-reference.com/teams/sea/2021.htm" TargetMode="External"/><Relationship Id="rId20" Type="http://schemas.openxmlformats.org/officeDocument/2006/relationships/hyperlink" Target="https://www.pro-football-reference.com/teams/cle/2021.htm" TargetMode="External"/><Relationship Id="rId29" Type="http://schemas.openxmlformats.org/officeDocument/2006/relationships/hyperlink" Target="https://www.pro-football-reference.com/teams/car/2021.htm" TargetMode="External"/><Relationship Id="rId1" Type="http://schemas.openxmlformats.org/officeDocument/2006/relationships/hyperlink" Target="https://www.pro-football-reference.com/teams/dal/2021.htm" TargetMode="External"/><Relationship Id="rId6" Type="http://schemas.openxmlformats.org/officeDocument/2006/relationships/hyperlink" Target="https://www.pro-football-reference.com/teams/nwe/2021.htm" TargetMode="External"/><Relationship Id="rId11" Type="http://schemas.openxmlformats.org/officeDocument/2006/relationships/hyperlink" Target="https://www.pro-football-reference.com/teams/crd/2021.htm" TargetMode="External"/><Relationship Id="rId24" Type="http://schemas.openxmlformats.org/officeDocument/2006/relationships/hyperlink" Target="https://www.pro-football-reference.com/teams/was/2021.htm" TargetMode="External"/><Relationship Id="rId32" Type="http://schemas.openxmlformats.org/officeDocument/2006/relationships/hyperlink" Target="https://www.pro-football-reference.com/teams/jax/2021.htm" TargetMode="External"/><Relationship Id="rId5" Type="http://schemas.openxmlformats.org/officeDocument/2006/relationships/hyperlink" Target="https://www.pro-football-reference.com/teams/sdg/2021.htm" TargetMode="External"/><Relationship Id="rId15" Type="http://schemas.openxmlformats.org/officeDocument/2006/relationships/hyperlink" Target="https://www.pro-football-reference.com/teams/oti/2021.htm" TargetMode="External"/><Relationship Id="rId23" Type="http://schemas.openxmlformats.org/officeDocument/2006/relationships/hyperlink" Target="https://www.pro-football-reference.com/teams/den/2021.htm" TargetMode="External"/><Relationship Id="rId28" Type="http://schemas.openxmlformats.org/officeDocument/2006/relationships/hyperlink" Target="https://www.pro-football-reference.com/teams/nyj/2021.htm" TargetMode="External"/><Relationship Id="rId10" Type="http://schemas.openxmlformats.org/officeDocument/2006/relationships/hyperlink" Target="https://www.pro-football-reference.com/teams/gnb/2021.htm" TargetMode="External"/><Relationship Id="rId19" Type="http://schemas.openxmlformats.org/officeDocument/2006/relationships/hyperlink" Target="https://www.pro-football-reference.com/teams/nor/2021.htm" TargetMode="External"/><Relationship Id="rId31" Type="http://schemas.openxmlformats.org/officeDocument/2006/relationships/hyperlink" Target="https://www.pro-football-reference.com/teams/nyg/2021.htm" TargetMode="External"/><Relationship Id="rId4" Type="http://schemas.openxmlformats.org/officeDocument/2006/relationships/hyperlink" Target="https://www.pro-football-reference.com/teams/kan/2021.htm" TargetMode="External"/><Relationship Id="rId9" Type="http://schemas.openxmlformats.org/officeDocument/2006/relationships/hyperlink" Target="https://www.pro-football-reference.com/teams/clt/2021.htm" TargetMode="External"/><Relationship Id="rId14" Type="http://schemas.openxmlformats.org/officeDocument/2006/relationships/hyperlink" Target="https://www.pro-football-reference.com/teams/min/2021.htm" TargetMode="External"/><Relationship Id="rId22" Type="http://schemas.openxmlformats.org/officeDocument/2006/relationships/hyperlink" Target="https://www.pro-football-reference.com/teams/mia/2021.htm" TargetMode="External"/><Relationship Id="rId27" Type="http://schemas.openxmlformats.org/officeDocument/2006/relationships/hyperlink" Target="https://www.pro-football-reference.com/teams/chi/2021.htm" TargetMode="External"/><Relationship Id="rId30" Type="http://schemas.openxmlformats.org/officeDocument/2006/relationships/hyperlink" Target="https://www.pro-football-reference.com/teams/htx/2021.htm" TargetMode="External"/><Relationship Id="rId8" Type="http://schemas.openxmlformats.org/officeDocument/2006/relationships/hyperlink" Target="https://www.pro-football-reference.com/teams/ram/2021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73033-D4F2-4E8F-99CB-10F841C255C3}">
  <sheetPr codeName="Sheet1"/>
  <dimension ref="A1:N16"/>
  <sheetViews>
    <sheetView tabSelected="1" workbookViewId="0">
      <selection activeCell="B2" sqref="B2"/>
    </sheetView>
  </sheetViews>
  <sheetFormatPr defaultColWidth="9.109375" defaultRowHeight="14.4" x14ac:dyDescent="0.3"/>
  <cols>
    <col min="1" max="1" width="20.109375" style="23" bestFit="1" customWidth="1"/>
    <col min="2" max="2" width="17" style="23" bestFit="1" customWidth="1"/>
    <col min="3" max="6" width="9.109375" style="23"/>
    <col min="7" max="7" width="10.33203125" style="23" bestFit="1" customWidth="1"/>
    <col min="8" max="8" width="13.5546875" style="23" bestFit="1" customWidth="1"/>
    <col min="9" max="9" width="20.109375" style="23" bestFit="1" customWidth="1"/>
    <col min="10" max="10" width="15" style="23" bestFit="1" customWidth="1"/>
    <col min="11" max="11" width="9.109375" style="23"/>
    <col min="12" max="12" width="24.33203125" style="23" bestFit="1" customWidth="1"/>
    <col min="13" max="13" width="21.109375" style="23" bestFit="1" customWidth="1"/>
    <col min="14" max="14" width="12.33203125" style="23" bestFit="1" customWidth="1"/>
    <col min="15" max="16384" width="9.109375" style="23"/>
  </cols>
  <sheetData>
    <row r="1" spans="1:14" x14ac:dyDescent="0.3">
      <c r="A1" s="23" t="s">
        <v>214</v>
      </c>
      <c r="B1" s="23" t="s">
        <v>215</v>
      </c>
      <c r="C1" s="23" t="s">
        <v>216</v>
      </c>
      <c r="H1" s="23" t="s">
        <v>217</v>
      </c>
      <c r="I1" s="23" t="str">
        <f>A2</f>
        <v>Las Vegas Raiders</v>
      </c>
      <c r="J1" s="23" t="str">
        <f>B2</f>
        <v>Seattle Seahawks</v>
      </c>
      <c r="L1" s="23" t="s">
        <v>233</v>
      </c>
      <c r="M1" s="23" t="str">
        <f>I1</f>
        <v>Las Vegas Raiders</v>
      </c>
      <c r="N1" s="23" t="str">
        <f>J1</f>
        <v>Seattle Seahawks</v>
      </c>
    </row>
    <row r="2" spans="1:14" x14ac:dyDescent="0.3">
      <c r="A2" s="23" t="s">
        <v>17</v>
      </c>
      <c r="B2" s="23" t="s">
        <v>15</v>
      </c>
      <c r="C2" s="23">
        <v>1</v>
      </c>
      <c r="G2" s="26" t="s">
        <v>226</v>
      </c>
      <c r="H2" s="23" t="s">
        <v>224</v>
      </c>
      <c r="I2" s="23">
        <v>67</v>
      </c>
      <c r="J2" s="23">
        <v>63</v>
      </c>
      <c r="L2" s="23" t="s">
        <v>234</v>
      </c>
      <c r="M2" s="23">
        <v>37</v>
      </c>
      <c r="N2" s="23" t="s">
        <v>237</v>
      </c>
    </row>
    <row r="3" spans="1:14" x14ac:dyDescent="0.3">
      <c r="A3" s="23">
        <v>0</v>
      </c>
      <c r="B3" s="23">
        <v>0</v>
      </c>
      <c r="G3" s="26"/>
      <c r="H3" s="23" t="s">
        <v>218</v>
      </c>
      <c r="I3" s="24">
        <v>373.26934505371293</v>
      </c>
      <c r="J3" s="24">
        <v>442.95013391353575</v>
      </c>
      <c r="L3" s="23" t="s">
        <v>235</v>
      </c>
      <c r="M3" s="25">
        <v>0.37</v>
      </c>
      <c r="N3" s="25">
        <v>0.63</v>
      </c>
    </row>
    <row r="4" spans="1:14" x14ac:dyDescent="0.3">
      <c r="G4" s="26"/>
      <c r="H4" s="23" t="s">
        <v>222</v>
      </c>
      <c r="I4" s="23">
        <v>0</v>
      </c>
      <c r="J4" s="23">
        <v>0</v>
      </c>
      <c r="L4" s="23" t="s">
        <v>236</v>
      </c>
      <c r="M4" s="23">
        <v>-0.05</v>
      </c>
      <c r="N4" s="23">
        <v>0.05</v>
      </c>
    </row>
    <row r="5" spans="1:14" x14ac:dyDescent="0.3">
      <c r="G5" s="26"/>
      <c r="H5" s="23" t="s">
        <v>223</v>
      </c>
      <c r="I5" s="23">
        <v>0</v>
      </c>
      <c r="J5" s="23">
        <v>0</v>
      </c>
    </row>
    <row r="6" spans="1:14" x14ac:dyDescent="0.3">
      <c r="G6" s="26"/>
      <c r="H6" s="23" t="s">
        <v>225</v>
      </c>
    </row>
    <row r="8" spans="1:14" x14ac:dyDescent="0.3">
      <c r="G8" s="26" t="s">
        <v>228</v>
      </c>
      <c r="H8" s="23" t="s">
        <v>227</v>
      </c>
      <c r="I8" s="23">
        <v>47</v>
      </c>
      <c r="J8" s="23">
        <v>36</v>
      </c>
    </row>
    <row r="9" spans="1:14" x14ac:dyDescent="0.3">
      <c r="G9" s="26"/>
      <c r="H9" s="23" t="s">
        <v>219</v>
      </c>
      <c r="I9" s="24">
        <v>289.46952107217982</v>
      </c>
      <c r="J9" s="24">
        <v>355.5393337830771</v>
      </c>
    </row>
    <row r="10" spans="1:14" x14ac:dyDescent="0.3">
      <c r="G10" s="26"/>
      <c r="H10" s="23" t="s">
        <v>221</v>
      </c>
      <c r="I10" s="25">
        <v>0.53191489361702127</v>
      </c>
      <c r="J10" s="25">
        <v>0.75</v>
      </c>
    </row>
    <row r="11" spans="1:14" x14ac:dyDescent="0.3">
      <c r="H11" s="23" t="s">
        <v>231</v>
      </c>
      <c r="I11" s="24">
        <v>6.1589259802591449</v>
      </c>
      <c r="J11" s="24">
        <v>9.8760926050854749</v>
      </c>
    </row>
    <row r="12" spans="1:14" ht="15" customHeight="1" x14ac:dyDescent="0.3"/>
    <row r="13" spans="1:14" ht="15" customHeight="1" x14ac:dyDescent="0.3"/>
    <row r="14" spans="1:14" ht="15" customHeight="1" x14ac:dyDescent="0.3">
      <c r="G14" s="26" t="s">
        <v>230</v>
      </c>
      <c r="H14" s="23" t="s">
        <v>229</v>
      </c>
      <c r="I14" s="23">
        <v>20</v>
      </c>
      <c r="J14" s="23">
        <v>27</v>
      </c>
    </row>
    <row r="15" spans="1:14" x14ac:dyDescent="0.3">
      <c r="G15" s="26"/>
      <c r="H15" s="23" t="s">
        <v>220</v>
      </c>
      <c r="I15" s="24">
        <v>83.799823981533123</v>
      </c>
      <c r="J15" s="24">
        <v>87.41080013045864</v>
      </c>
    </row>
    <row r="16" spans="1:14" x14ac:dyDescent="0.3">
      <c r="H16" s="23" t="s">
        <v>232</v>
      </c>
      <c r="I16" s="24">
        <v>4.1899911990766565</v>
      </c>
      <c r="J16" s="24">
        <v>3.2374370418688385</v>
      </c>
    </row>
  </sheetData>
  <mergeCells count="3">
    <mergeCell ref="G2:G6"/>
    <mergeCell ref="G8:G10"/>
    <mergeCell ref="G14:G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ield_Advancement">
                <anchor moveWithCells="1" sizeWithCells="1">
                  <from>
                    <xdr:col>4</xdr:col>
                    <xdr:colOff>22860</xdr:colOff>
                    <xdr:row>1</xdr:row>
                    <xdr:rowOff>22860</xdr:rowOff>
                  </from>
                  <to>
                    <xdr:col>5</xdr:col>
                    <xdr:colOff>571500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ame_Forecast">
                <anchor moveWithCells="1" sizeWithCells="1">
                  <from>
                    <xdr:col>11</xdr:col>
                    <xdr:colOff>0</xdr:colOff>
                    <xdr:row>4</xdr:row>
                    <xdr:rowOff>175260</xdr:rowOff>
                  </from>
                  <to>
                    <xdr:col>11</xdr:col>
                    <xdr:colOff>1546860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7D3CBE-68B6-434C-A586-8CEE6BB1B988}">
          <x14:formula1>
            <xm:f>Reference_Inputs!$B$2:$B$33</xm:f>
          </x14:formula1>
          <xm:sqref>A2:B2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AFC47-5CC2-4720-B080-42B83846C571}">
  <sheetPr codeName="Sheet2"/>
  <dimension ref="A1:AB33"/>
  <sheetViews>
    <sheetView workbookViewId="0"/>
  </sheetViews>
  <sheetFormatPr defaultRowHeight="14.4" x14ac:dyDescent="0.3"/>
  <sheetData>
    <row r="1" spans="1:28" ht="15" thickBot="1" x14ac:dyDescent="0.35">
      <c r="A1" s="13" t="s">
        <v>32</v>
      </c>
      <c r="B1" s="14" t="s">
        <v>33</v>
      </c>
      <c r="C1" s="15" t="s">
        <v>34</v>
      </c>
      <c r="D1" s="15" t="s">
        <v>35</v>
      </c>
      <c r="E1" s="15" t="s">
        <v>36</v>
      </c>
      <c r="F1" s="15" t="s">
        <v>37</v>
      </c>
      <c r="G1" s="15" t="s">
        <v>38</v>
      </c>
      <c r="H1" s="15" t="s">
        <v>39</v>
      </c>
      <c r="I1" s="15" t="s">
        <v>40</v>
      </c>
      <c r="J1" s="15" t="s">
        <v>41</v>
      </c>
      <c r="K1" s="15" t="s">
        <v>42</v>
      </c>
      <c r="L1" s="15" t="s">
        <v>43</v>
      </c>
      <c r="M1" s="15" t="s">
        <v>36</v>
      </c>
      <c r="N1" s="15" t="s">
        <v>44</v>
      </c>
      <c r="O1" s="15" t="s">
        <v>45</v>
      </c>
      <c r="P1" s="15" t="s">
        <v>46</v>
      </c>
      <c r="Q1" s="15" t="s">
        <v>41</v>
      </c>
      <c r="R1" s="15" t="s">
        <v>43</v>
      </c>
      <c r="S1" s="15" t="s">
        <v>36</v>
      </c>
      <c r="T1" s="15" t="s">
        <v>44</v>
      </c>
      <c r="U1" s="15" t="s">
        <v>47</v>
      </c>
      <c r="V1" s="15" t="s">
        <v>41</v>
      </c>
      <c r="W1" s="15" t="s">
        <v>48</v>
      </c>
      <c r="X1" s="15" t="s">
        <v>36</v>
      </c>
      <c r="Y1" s="15" t="s">
        <v>49</v>
      </c>
      <c r="Z1" s="15" t="s">
        <v>50</v>
      </c>
      <c r="AA1" s="15" t="s">
        <v>51</v>
      </c>
      <c r="AB1" s="16" t="s">
        <v>52</v>
      </c>
    </row>
    <row r="2" spans="1:28" x14ac:dyDescent="0.3">
      <c r="A2" s="1">
        <v>2</v>
      </c>
      <c r="B2" s="2" t="s">
        <v>1</v>
      </c>
      <c r="C2" s="3">
        <v>17</v>
      </c>
      <c r="D2" s="3">
        <v>511</v>
      </c>
      <c r="E2" s="3">
        <v>6901</v>
      </c>
      <c r="F2" s="3">
        <v>1139</v>
      </c>
      <c r="G2" s="3">
        <v>6.1</v>
      </c>
      <c r="H2" s="3">
        <v>19</v>
      </c>
      <c r="I2" s="3">
        <v>7</v>
      </c>
      <c r="J2" s="3">
        <v>404</v>
      </c>
      <c r="K2" s="3">
        <v>492</v>
      </c>
      <c r="L2" s="3">
        <v>731</v>
      </c>
      <c r="M2" s="3">
        <v>5229</v>
      </c>
      <c r="N2" s="3">
        <v>43</v>
      </c>
      <c r="O2" s="3">
        <v>12</v>
      </c>
      <c r="P2" s="3">
        <v>6.9</v>
      </c>
      <c r="Q2" s="3">
        <v>273</v>
      </c>
      <c r="R2" s="3">
        <v>385</v>
      </c>
      <c r="S2" s="3">
        <v>1672</v>
      </c>
      <c r="T2" s="3">
        <v>18</v>
      </c>
      <c r="U2" s="3">
        <v>4.3</v>
      </c>
      <c r="V2" s="3">
        <v>106</v>
      </c>
      <c r="W2" s="3">
        <v>97</v>
      </c>
      <c r="X2" s="3">
        <v>874</v>
      </c>
      <c r="Y2" s="3">
        <v>25</v>
      </c>
      <c r="Z2" s="3">
        <v>44.3</v>
      </c>
      <c r="AA2" s="3">
        <v>9.8000000000000007</v>
      </c>
      <c r="AB2" s="4">
        <v>216.14</v>
      </c>
    </row>
    <row r="3" spans="1:28" x14ac:dyDescent="0.3">
      <c r="A3" s="5">
        <v>4</v>
      </c>
      <c r="B3" s="6" t="s">
        <v>3</v>
      </c>
      <c r="C3" s="7">
        <v>17</v>
      </c>
      <c r="D3" s="7">
        <v>480</v>
      </c>
      <c r="E3" s="7">
        <v>6746</v>
      </c>
      <c r="F3" s="7">
        <v>1134</v>
      </c>
      <c r="G3" s="7">
        <v>5.9</v>
      </c>
      <c r="H3" s="7">
        <v>25</v>
      </c>
      <c r="I3" s="7">
        <v>12</v>
      </c>
      <c r="J3" s="7">
        <v>419</v>
      </c>
      <c r="K3" s="7">
        <v>448</v>
      </c>
      <c r="L3" s="7">
        <v>675</v>
      </c>
      <c r="M3" s="7">
        <v>4791</v>
      </c>
      <c r="N3" s="7">
        <v>37</v>
      </c>
      <c r="O3" s="7">
        <v>13</v>
      </c>
      <c r="P3" s="7">
        <v>6.8</v>
      </c>
      <c r="Q3" s="7">
        <v>267</v>
      </c>
      <c r="R3" s="7">
        <v>431</v>
      </c>
      <c r="S3" s="7">
        <v>1955</v>
      </c>
      <c r="T3" s="7">
        <v>16</v>
      </c>
      <c r="U3" s="7">
        <v>4.5</v>
      </c>
      <c r="V3" s="7">
        <v>119</v>
      </c>
      <c r="W3" s="7">
        <v>111</v>
      </c>
      <c r="X3" s="7">
        <v>925</v>
      </c>
      <c r="Y3" s="7">
        <v>33</v>
      </c>
      <c r="Z3" s="7">
        <v>48.2</v>
      </c>
      <c r="AA3" s="7">
        <v>13.7</v>
      </c>
      <c r="AB3" s="8">
        <v>261.77</v>
      </c>
    </row>
    <row r="4" spans="1:28" x14ac:dyDescent="0.3">
      <c r="A4" s="5">
        <v>5</v>
      </c>
      <c r="B4" s="6" t="s">
        <v>4</v>
      </c>
      <c r="C4" s="7">
        <v>17</v>
      </c>
      <c r="D4" s="7">
        <v>474</v>
      </c>
      <c r="E4" s="7">
        <v>6634</v>
      </c>
      <c r="F4" s="7">
        <v>1128</v>
      </c>
      <c r="G4" s="7">
        <v>5.9</v>
      </c>
      <c r="H4" s="7">
        <v>22</v>
      </c>
      <c r="I4" s="7">
        <v>7</v>
      </c>
      <c r="J4" s="7">
        <v>401</v>
      </c>
      <c r="K4" s="7">
        <v>443</v>
      </c>
      <c r="L4" s="7">
        <v>674</v>
      </c>
      <c r="M4" s="7">
        <v>4800</v>
      </c>
      <c r="N4" s="7">
        <v>38</v>
      </c>
      <c r="O4" s="7">
        <v>15</v>
      </c>
      <c r="P4" s="7">
        <v>6.8</v>
      </c>
      <c r="Q4" s="7">
        <v>256</v>
      </c>
      <c r="R4" s="7">
        <v>423</v>
      </c>
      <c r="S4" s="7">
        <v>1834</v>
      </c>
      <c r="T4" s="7">
        <v>18</v>
      </c>
      <c r="U4" s="7">
        <v>4.3</v>
      </c>
      <c r="V4" s="7">
        <v>112</v>
      </c>
      <c r="W4" s="7">
        <v>116</v>
      </c>
      <c r="X4" s="7">
        <v>1033</v>
      </c>
      <c r="Y4" s="7">
        <v>33</v>
      </c>
      <c r="Z4" s="7">
        <v>45.7</v>
      </c>
      <c r="AA4" s="7">
        <v>12</v>
      </c>
      <c r="AB4" s="8">
        <v>164.91</v>
      </c>
    </row>
    <row r="5" spans="1:28" x14ac:dyDescent="0.3">
      <c r="A5" s="5">
        <v>21</v>
      </c>
      <c r="B5" s="6" t="s">
        <v>20</v>
      </c>
      <c r="C5" s="7">
        <v>17</v>
      </c>
      <c r="D5" s="7">
        <v>343</v>
      </c>
      <c r="E5" s="7">
        <v>5361</v>
      </c>
      <c r="F5" s="7">
        <v>1113</v>
      </c>
      <c r="G5" s="7">
        <v>4.8</v>
      </c>
      <c r="H5" s="7">
        <v>20</v>
      </c>
      <c r="I5" s="7">
        <v>9</v>
      </c>
      <c r="J5" s="7">
        <v>323</v>
      </c>
      <c r="K5" s="7">
        <v>425</v>
      </c>
      <c r="L5" s="7">
        <v>664</v>
      </c>
      <c r="M5" s="7">
        <v>3778</v>
      </c>
      <c r="N5" s="7">
        <v>23</v>
      </c>
      <c r="O5" s="7">
        <v>11</v>
      </c>
      <c r="P5" s="7">
        <v>5.4</v>
      </c>
      <c r="Q5" s="7">
        <v>204</v>
      </c>
      <c r="R5" s="7">
        <v>411</v>
      </c>
      <c r="S5" s="7">
        <v>1583</v>
      </c>
      <c r="T5" s="7">
        <v>10</v>
      </c>
      <c r="U5" s="7">
        <v>3.9</v>
      </c>
      <c r="V5" s="7">
        <v>85</v>
      </c>
      <c r="W5" s="7">
        <v>106</v>
      </c>
      <c r="X5" s="7">
        <v>831</v>
      </c>
      <c r="Y5" s="7">
        <v>34</v>
      </c>
      <c r="Z5" s="7">
        <v>34.700000000000003</v>
      </c>
      <c r="AA5" s="7">
        <v>9.5</v>
      </c>
      <c r="AB5" s="8">
        <v>-14.49</v>
      </c>
    </row>
    <row r="6" spans="1:28" x14ac:dyDescent="0.3">
      <c r="A6" s="5">
        <v>3</v>
      </c>
      <c r="B6" s="6" t="s">
        <v>2</v>
      </c>
      <c r="C6" s="7">
        <v>17</v>
      </c>
      <c r="D6" s="7">
        <v>483</v>
      </c>
      <c r="E6" s="7">
        <v>6493</v>
      </c>
      <c r="F6" s="7">
        <v>1143</v>
      </c>
      <c r="G6" s="7">
        <v>5.7</v>
      </c>
      <c r="H6" s="7">
        <v>22</v>
      </c>
      <c r="I6" s="7">
        <v>6</v>
      </c>
      <c r="J6" s="7">
        <v>398</v>
      </c>
      <c r="K6" s="7">
        <v>415</v>
      </c>
      <c r="L6" s="7">
        <v>655</v>
      </c>
      <c r="M6" s="7">
        <v>4284</v>
      </c>
      <c r="N6" s="7">
        <v>36</v>
      </c>
      <c r="O6" s="7">
        <v>16</v>
      </c>
      <c r="P6" s="7">
        <v>6.3</v>
      </c>
      <c r="Q6" s="7">
        <v>236</v>
      </c>
      <c r="R6" s="7">
        <v>461</v>
      </c>
      <c r="S6" s="7">
        <v>2209</v>
      </c>
      <c r="T6" s="7">
        <v>20</v>
      </c>
      <c r="U6" s="7">
        <v>4.8</v>
      </c>
      <c r="V6" s="7">
        <v>134</v>
      </c>
      <c r="W6" s="7">
        <v>113</v>
      </c>
      <c r="X6" s="7">
        <v>980</v>
      </c>
      <c r="Y6" s="7">
        <v>28</v>
      </c>
      <c r="Z6" s="7">
        <v>45.2</v>
      </c>
      <c r="AA6" s="7">
        <v>11.3</v>
      </c>
      <c r="AB6" s="8">
        <v>216.68</v>
      </c>
    </row>
    <row r="7" spans="1:28" x14ac:dyDescent="0.3">
      <c r="A7" s="5">
        <v>1</v>
      </c>
      <c r="B7" s="6" t="s">
        <v>0</v>
      </c>
      <c r="C7" s="7">
        <v>17</v>
      </c>
      <c r="D7" s="7">
        <v>530</v>
      </c>
      <c r="E7" s="7">
        <v>6919</v>
      </c>
      <c r="F7" s="7">
        <v>1153</v>
      </c>
      <c r="G7" s="7">
        <v>6</v>
      </c>
      <c r="H7" s="7">
        <v>20</v>
      </c>
      <c r="I7" s="7">
        <v>9</v>
      </c>
      <c r="J7" s="7">
        <v>390</v>
      </c>
      <c r="K7" s="7">
        <v>444</v>
      </c>
      <c r="L7" s="7">
        <v>647</v>
      </c>
      <c r="M7" s="7">
        <v>4800</v>
      </c>
      <c r="N7" s="7">
        <v>40</v>
      </c>
      <c r="O7" s="7">
        <v>11</v>
      </c>
      <c r="P7" s="7">
        <v>7.1</v>
      </c>
      <c r="Q7" s="7">
        <v>248</v>
      </c>
      <c r="R7" s="7">
        <v>473</v>
      </c>
      <c r="S7" s="7">
        <v>2119</v>
      </c>
      <c r="T7" s="7">
        <v>15</v>
      </c>
      <c r="U7" s="7">
        <v>4.5</v>
      </c>
      <c r="V7" s="7">
        <v>111</v>
      </c>
      <c r="W7" s="7">
        <v>127</v>
      </c>
      <c r="X7" s="7">
        <v>1103</v>
      </c>
      <c r="Y7" s="7">
        <v>31</v>
      </c>
      <c r="Z7" s="7">
        <v>43.8</v>
      </c>
      <c r="AA7" s="7">
        <v>9.9</v>
      </c>
      <c r="AB7" s="8">
        <v>158.06</v>
      </c>
    </row>
    <row r="8" spans="1:28" x14ac:dyDescent="0.3">
      <c r="A8" s="5">
        <v>18</v>
      </c>
      <c r="B8" s="6" t="s">
        <v>17</v>
      </c>
      <c r="C8" s="7">
        <v>17</v>
      </c>
      <c r="D8" s="7">
        <v>374</v>
      </c>
      <c r="E8" s="7">
        <v>6184</v>
      </c>
      <c r="F8" s="7">
        <v>1082</v>
      </c>
      <c r="G8" s="7">
        <v>5.7</v>
      </c>
      <c r="H8" s="7">
        <v>24</v>
      </c>
      <c r="I8" s="7">
        <v>10</v>
      </c>
      <c r="J8" s="7">
        <v>349</v>
      </c>
      <c r="K8" s="7">
        <v>429</v>
      </c>
      <c r="L8" s="7">
        <v>628</v>
      </c>
      <c r="M8" s="7">
        <v>4567</v>
      </c>
      <c r="N8" s="7">
        <v>23</v>
      </c>
      <c r="O8" s="7">
        <v>14</v>
      </c>
      <c r="P8" s="7">
        <v>6.8</v>
      </c>
      <c r="Q8" s="7">
        <v>217</v>
      </c>
      <c r="R8" s="7">
        <v>414</v>
      </c>
      <c r="S8" s="7">
        <v>1617</v>
      </c>
      <c r="T8" s="7">
        <v>14</v>
      </c>
      <c r="U8" s="7">
        <v>3.9</v>
      </c>
      <c r="V8" s="7">
        <v>95</v>
      </c>
      <c r="W8" s="7">
        <v>124</v>
      </c>
      <c r="X8" s="7">
        <v>1104</v>
      </c>
      <c r="Y8" s="7">
        <v>37</v>
      </c>
      <c r="Z8" s="7">
        <v>41</v>
      </c>
      <c r="AA8" s="7">
        <v>12.8</v>
      </c>
      <c r="AB8" s="8">
        <v>77.89</v>
      </c>
    </row>
    <row r="9" spans="1:28" x14ac:dyDescent="0.3">
      <c r="A9" s="5">
        <v>22</v>
      </c>
      <c r="B9" s="6" t="s">
        <v>21</v>
      </c>
      <c r="C9" s="7">
        <v>17</v>
      </c>
      <c r="D9" s="7">
        <v>341</v>
      </c>
      <c r="E9" s="7">
        <v>5219</v>
      </c>
      <c r="F9" s="7">
        <v>1097</v>
      </c>
      <c r="G9" s="7">
        <v>4.8</v>
      </c>
      <c r="H9" s="7">
        <v>26</v>
      </c>
      <c r="I9" s="7">
        <v>12</v>
      </c>
      <c r="J9" s="7">
        <v>325</v>
      </c>
      <c r="K9" s="7">
        <v>404</v>
      </c>
      <c r="L9" s="7">
        <v>615</v>
      </c>
      <c r="M9" s="7">
        <v>3651</v>
      </c>
      <c r="N9" s="7">
        <v>21</v>
      </c>
      <c r="O9" s="7">
        <v>14</v>
      </c>
      <c r="P9" s="7">
        <v>5.6</v>
      </c>
      <c r="Q9" s="7">
        <v>206</v>
      </c>
      <c r="R9" s="7">
        <v>442</v>
      </c>
      <c r="S9" s="7">
        <v>1568</v>
      </c>
      <c r="T9" s="7">
        <v>12</v>
      </c>
      <c r="U9" s="7">
        <v>3.5</v>
      </c>
      <c r="V9" s="7">
        <v>87</v>
      </c>
      <c r="W9" s="7">
        <v>105</v>
      </c>
      <c r="X9" s="7">
        <v>825</v>
      </c>
      <c r="Y9" s="7">
        <v>32</v>
      </c>
      <c r="Z9" s="7">
        <v>30.1</v>
      </c>
      <c r="AA9" s="7">
        <v>12.4</v>
      </c>
      <c r="AB9" s="8">
        <v>-11.96</v>
      </c>
    </row>
    <row r="10" spans="1:28" x14ac:dyDescent="0.3">
      <c r="A10" s="5">
        <v>17</v>
      </c>
      <c r="B10" s="6" t="s">
        <v>16</v>
      </c>
      <c r="C10" s="7">
        <v>17</v>
      </c>
      <c r="D10" s="7">
        <v>387</v>
      </c>
      <c r="E10" s="7">
        <v>6440</v>
      </c>
      <c r="F10" s="7">
        <v>1185</v>
      </c>
      <c r="G10" s="7">
        <v>5.4</v>
      </c>
      <c r="H10" s="7">
        <v>26</v>
      </c>
      <c r="I10" s="7">
        <v>8</v>
      </c>
      <c r="J10" s="7">
        <v>394</v>
      </c>
      <c r="K10" s="7">
        <v>396</v>
      </c>
      <c r="L10" s="7">
        <v>611</v>
      </c>
      <c r="M10" s="7">
        <v>3961</v>
      </c>
      <c r="N10" s="7">
        <v>21</v>
      </c>
      <c r="O10" s="7">
        <v>18</v>
      </c>
      <c r="P10" s="7">
        <v>5.9</v>
      </c>
      <c r="Q10" s="7">
        <v>209</v>
      </c>
      <c r="R10" s="7">
        <v>517</v>
      </c>
      <c r="S10" s="7">
        <v>2479</v>
      </c>
      <c r="T10" s="7">
        <v>18</v>
      </c>
      <c r="U10" s="7">
        <v>4.8</v>
      </c>
      <c r="V10" s="7">
        <v>159</v>
      </c>
      <c r="W10" s="7">
        <v>102</v>
      </c>
      <c r="X10" s="7">
        <v>852</v>
      </c>
      <c r="Y10" s="7">
        <v>26</v>
      </c>
      <c r="Z10" s="7">
        <v>38.5</v>
      </c>
      <c r="AA10" s="7">
        <v>13.3</v>
      </c>
      <c r="AB10" s="8">
        <v>59.67</v>
      </c>
    </row>
    <row r="11" spans="1:28" x14ac:dyDescent="0.3">
      <c r="A11" s="5">
        <v>8</v>
      </c>
      <c r="B11" s="6" t="s">
        <v>7</v>
      </c>
      <c r="C11" s="7">
        <v>17</v>
      </c>
      <c r="D11" s="7">
        <v>460</v>
      </c>
      <c r="E11" s="7">
        <v>6325</v>
      </c>
      <c r="F11" s="7">
        <v>1058</v>
      </c>
      <c r="G11" s="7">
        <v>6</v>
      </c>
      <c r="H11" s="7">
        <v>23</v>
      </c>
      <c r="I11" s="7">
        <v>5</v>
      </c>
      <c r="J11" s="7">
        <v>355</v>
      </c>
      <c r="K11" s="7">
        <v>406</v>
      </c>
      <c r="L11" s="7">
        <v>607</v>
      </c>
      <c r="M11" s="7">
        <v>4642</v>
      </c>
      <c r="N11" s="7">
        <v>41</v>
      </c>
      <c r="O11" s="7">
        <v>18</v>
      </c>
      <c r="P11" s="7">
        <v>7.3</v>
      </c>
      <c r="Q11" s="7">
        <v>233</v>
      </c>
      <c r="R11" s="7">
        <v>420</v>
      </c>
      <c r="S11" s="7">
        <v>1683</v>
      </c>
      <c r="T11" s="7">
        <v>10</v>
      </c>
      <c r="U11" s="7">
        <v>4</v>
      </c>
      <c r="V11" s="7">
        <v>99</v>
      </c>
      <c r="W11" s="7">
        <v>76</v>
      </c>
      <c r="X11" s="7">
        <v>637</v>
      </c>
      <c r="Y11" s="7">
        <v>23</v>
      </c>
      <c r="Z11" s="7">
        <v>45.9</v>
      </c>
      <c r="AA11" s="7">
        <v>12.2</v>
      </c>
      <c r="AB11" s="8">
        <v>161.53</v>
      </c>
    </row>
    <row r="12" spans="1:28" x14ac:dyDescent="0.3">
      <c r="A12" s="5">
        <v>14</v>
      </c>
      <c r="B12" s="6" t="s">
        <v>13</v>
      </c>
      <c r="C12" s="7">
        <v>17</v>
      </c>
      <c r="D12" s="7">
        <v>425</v>
      </c>
      <c r="E12" s="7">
        <v>6168</v>
      </c>
      <c r="F12" s="7">
        <v>1083</v>
      </c>
      <c r="G12" s="7">
        <v>5.7</v>
      </c>
      <c r="H12" s="7">
        <v>13</v>
      </c>
      <c r="I12" s="7">
        <v>6</v>
      </c>
      <c r="J12" s="7">
        <v>332</v>
      </c>
      <c r="K12" s="7">
        <v>398</v>
      </c>
      <c r="L12" s="7">
        <v>604</v>
      </c>
      <c r="M12" s="7">
        <v>4238</v>
      </c>
      <c r="N12" s="7">
        <v>34</v>
      </c>
      <c r="O12" s="7">
        <v>7</v>
      </c>
      <c r="P12" s="7">
        <v>6.7</v>
      </c>
      <c r="Q12" s="7">
        <v>202</v>
      </c>
      <c r="R12" s="7">
        <v>449</v>
      </c>
      <c r="S12" s="7">
        <v>1930</v>
      </c>
      <c r="T12" s="7">
        <v>10</v>
      </c>
      <c r="U12" s="7">
        <v>4.3</v>
      </c>
      <c r="V12" s="7">
        <v>103</v>
      </c>
      <c r="W12" s="7">
        <v>111</v>
      </c>
      <c r="X12" s="7">
        <v>1043</v>
      </c>
      <c r="Y12" s="7">
        <v>27</v>
      </c>
      <c r="Z12" s="7">
        <v>39.299999999999997</v>
      </c>
      <c r="AA12" s="7">
        <v>6.6</v>
      </c>
      <c r="AB12" s="8">
        <v>72.05</v>
      </c>
    </row>
    <row r="13" spans="1:28" x14ac:dyDescent="0.3">
      <c r="A13" s="5">
        <v>32</v>
      </c>
      <c r="B13" s="6" t="s">
        <v>31</v>
      </c>
      <c r="C13" s="7">
        <v>17</v>
      </c>
      <c r="D13" s="7">
        <v>253</v>
      </c>
      <c r="E13" s="7">
        <v>5191</v>
      </c>
      <c r="F13" s="7">
        <v>1028</v>
      </c>
      <c r="G13" s="7">
        <v>5</v>
      </c>
      <c r="H13" s="7">
        <v>29</v>
      </c>
      <c r="I13" s="7">
        <v>12</v>
      </c>
      <c r="J13" s="7">
        <v>304</v>
      </c>
      <c r="K13" s="7">
        <v>361</v>
      </c>
      <c r="L13" s="7">
        <v>604</v>
      </c>
      <c r="M13" s="7">
        <v>3436</v>
      </c>
      <c r="N13" s="7">
        <v>12</v>
      </c>
      <c r="O13" s="7">
        <v>17</v>
      </c>
      <c r="P13" s="7">
        <v>5.4</v>
      </c>
      <c r="Q13" s="7">
        <v>178</v>
      </c>
      <c r="R13" s="7">
        <v>392</v>
      </c>
      <c r="S13" s="7">
        <v>1755</v>
      </c>
      <c r="T13" s="7">
        <v>13</v>
      </c>
      <c r="U13" s="7">
        <v>4.5</v>
      </c>
      <c r="V13" s="7">
        <v>92</v>
      </c>
      <c r="W13" s="7">
        <v>104</v>
      </c>
      <c r="X13" s="7">
        <v>856</v>
      </c>
      <c r="Y13" s="7">
        <v>34</v>
      </c>
      <c r="Z13" s="7">
        <v>26.4</v>
      </c>
      <c r="AA13" s="7">
        <v>15.7</v>
      </c>
      <c r="AB13" s="8">
        <v>-42.52</v>
      </c>
    </row>
    <row r="14" spans="1:28" x14ac:dyDescent="0.3">
      <c r="A14" s="5">
        <v>28</v>
      </c>
      <c r="B14" s="6" t="s">
        <v>27</v>
      </c>
      <c r="C14" s="7">
        <v>17</v>
      </c>
      <c r="D14" s="7">
        <v>310</v>
      </c>
      <c r="E14" s="7">
        <v>5208</v>
      </c>
      <c r="F14" s="7">
        <v>1036</v>
      </c>
      <c r="G14" s="7">
        <v>5</v>
      </c>
      <c r="H14" s="7">
        <v>27</v>
      </c>
      <c r="I14" s="7">
        <v>7</v>
      </c>
      <c r="J14" s="7">
        <v>310</v>
      </c>
      <c r="K14" s="7">
        <v>357</v>
      </c>
      <c r="L14" s="7">
        <v>603</v>
      </c>
      <c r="M14" s="7">
        <v>3541</v>
      </c>
      <c r="N14" s="7">
        <v>20</v>
      </c>
      <c r="O14" s="7">
        <v>20</v>
      </c>
      <c r="P14" s="7">
        <v>5.4</v>
      </c>
      <c r="Q14" s="7">
        <v>195</v>
      </c>
      <c r="R14" s="7">
        <v>380</v>
      </c>
      <c r="S14" s="7">
        <v>1667</v>
      </c>
      <c r="T14" s="7">
        <v>14</v>
      </c>
      <c r="U14" s="7">
        <v>4.4000000000000004</v>
      </c>
      <c r="V14" s="7">
        <v>87</v>
      </c>
      <c r="W14" s="7">
        <v>103</v>
      </c>
      <c r="X14" s="7">
        <v>860</v>
      </c>
      <c r="Y14" s="7">
        <v>28</v>
      </c>
      <c r="Z14" s="7">
        <v>29.4</v>
      </c>
      <c r="AA14" s="7">
        <v>14.4</v>
      </c>
      <c r="AB14" s="8">
        <v>-32.71</v>
      </c>
    </row>
    <row r="15" spans="1:28" x14ac:dyDescent="0.3">
      <c r="A15" s="5">
        <v>29</v>
      </c>
      <c r="B15" s="6" t="s">
        <v>28</v>
      </c>
      <c r="C15" s="7">
        <v>17</v>
      </c>
      <c r="D15" s="7">
        <v>304</v>
      </c>
      <c r="E15" s="7">
        <v>5081</v>
      </c>
      <c r="F15" s="7">
        <v>1106</v>
      </c>
      <c r="G15" s="7">
        <v>4.5999999999999996</v>
      </c>
      <c r="H15" s="7">
        <v>29</v>
      </c>
      <c r="I15" s="7">
        <v>8</v>
      </c>
      <c r="J15" s="7">
        <v>322</v>
      </c>
      <c r="K15" s="7">
        <v>348</v>
      </c>
      <c r="L15" s="7">
        <v>599</v>
      </c>
      <c r="M15" s="7">
        <v>3239</v>
      </c>
      <c r="N15" s="7">
        <v>14</v>
      </c>
      <c r="O15" s="7">
        <v>21</v>
      </c>
      <c r="P15" s="7">
        <v>5</v>
      </c>
      <c r="Q15" s="7">
        <v>174</v>
      </c>
      <c r="R15" s="7">
        <v>455</v>
      </c>
      <c r="S15" s="7">
        <v>1842</v>
      </c>
      <c r="T15" s="7">
        <v>17</v>
      </c>
      <c r="U15" s="7">
        <v>4</v>
      </c>
      <c r="V15" s="7">
        <v>118</v>
      </c>
      <c r="W15" s="7">
        <v>107</v>
      </c>
      <c r="X15" s="7">
        <v>864</v>
      </c>
      <c r="Y15" s="7">
        <v>30</v>
      </c>
      <c r="Z15" s="7">
        <v>29.2</v>
      </c>
      <c r="AA15" s="7">
        <v>14.9</v>
      </c>
      <c r="AB15" s="8">
        <v>-92.1</v>
      </c>
    </row>
    <row r="16" spans="1:28" x14ac:dyDescent="0.3">
      <c r="A16" s="5">
        <v>10</v>
      </c>
      <c r="B16" s="6" t="s">
        <v>9</v>
      </c>
      <c r="C16" s="7">
        <v>17</v>
      </c>
      <c r="D16" s="7">
        <v>450</v>
      </c>
      <c r="E16" s="7">
        <v>6215</v>
      </c>
      <c r="F16" s="7">
        <v>1072</v>
      </c>
      <c r="G16" s="7">
        <v>5.8</v>
      </c>
      <c r="H16" s="7">
        <v>13</v>
      </c>
      <c r="I16" s="7">
        <v>6</v>
      </c>
      <c r="J16" s="7">
        <v>375</v>
      </c>
      <c r="K16" s="7">
        <v>402</v>
      </c>
      <c r="L16" s="7">
        <v>593</v>
      </c>
      <c r="M16" s="7">
        <v>4315</v>
      </c>
      <c r="N16" s="7">
        <v>39</v>
      </c>
      <c r="O16" s="7">
        <v>7</v>
      </c>
      <c r="P16" s="7">
        <v>6.9</v>
      </c>
      <c r="Q16" s="7">
        <v>235</v>
      </c>
      <c r="R16" s="7">
        <v>446</v>
      </c>
      <c r="S16" s="7">
        <v>1900</v>
      </c>
      <c r="T16" s="7">
        <v>13</v>
      </c>
      <c r="U16" s="7">
        <v>4.3</v>
      </c>
      <c r="V16" s="7">
        <v>109</v>
      </c>
      <c r="W16" s="7">
        <v>69</v>
      </c>
      <c r="X16" s="7">
        <v>678</v>
      </c>
      <c r="Y16" s="7">
        <v>31</v>
      </c>
      <c r="Z16" s="7">
        <v>44.5</v>
      </c>
      <c r="AA16" s="7">
        <v>6.4</v>
      </c>
      <c r="AB16" s="8">
        <v>180.42</v>
      </c>
    </row>
    <row r="17" spans="1:28" x14ac:dyDescent="0.3">
      <c r="A17" s="5">
        <v>25</v>
      </c>
      <c r="B17" s="6" t="s">
        <v>24</v>
      </c>
      <c r="C17" s="7">
        <v>17</v>
      </c>
      <c r="D17" s="7">
        <v>325</v>
      </c>
      <c r="E17" s="7">
        <v>5484</v>
      </c>
      <c r="F17" s="7">
        <v>1056</v>
      </c>
      <c r="G17" s="7">
        <v>5.2</v>
      </c>
      <c r="H17" s="7">
        <v>23</v>
      </c>
      <c r="I17" s="7">
        <v>9</v>
      </c>
      <c r="J17" s="7">
        <v>329</v>
      </c>
      <c r="K17" s="7">
        <v>396</v>
      </c>
      <c r="L17" s="7">
        <v>593</v>
      </c>
      <c r="M17" s="7">
        <v>3598</v>
      </c>
      <c r="N17" s="7">
        <v>23</v>
      </c>
      <c r="O17" s="7">
        <v>14</v>
      </c>
      <c r="P17" s="7">
        <v>5.7</v>
      </c>
      <c r="Q17" s="7">
        <v>193</v>
      </c>
      <c r="R17" s="7">
        <v>427</v>
      </c>
      <c r="S17" s="7">
        <v>1886</v>
      </c>
      <c r="T17" s="7">
        <v>12</v>
      </c>
      <c r="U17" s="7">
        <v>4.4000000000000004</v>
      </c>
      <c r="V17" s="7">
        <v>104</v>
      </c>
      <c r="W17" s="7">
        <v>105</v>
      </c>
      <c r="X17" s="7">
        <v>824</v>
      </c>
      <c r="Y17" s="7">
        <v>32</v>
      </c>
      <c r="Z17" s="7">
        <v>34.299999999999997</v>
      </c>
      <c r="AA17" s="7">
        <v>12.9</v>
      </c>
      <c r="AB17" s="8">
        <v>6.87</v>
      </c>
    </row>
    <row r="18" spans="1:28" x14ac:dyDescent="0.3">
      <c r="A18" s="5">
        <v>31</v>
      </c>
      <c r="B18" s="6" t="s">
        <v>30</v>
      </c>
      <c r="C18" s="7">
        <v>17</v>
      </c>
      <c r="D18" s="7">
        <v>258</v>
      </c>
      <c r="E18" s="7">
        <v>4884</v>
      </c>
      <c r="F18" s="7">
        <v>1050</v>
      </c>
      <c r="G18" s="7">
        <v>4.7</v>
      </c>
      <c r="H18" s="7">
        <v>30</v>
      </c>
      <c r="I18" s="7">
        <v>10</v>
      </c>
      <c r="J18" s="7">
        <v>299</v>
      </c>
      <c r="K18" s="7">
        <v>351</v>
      </c>
      <c r="L18" s="7">
        <v>593</v>
      </c>
      <c r="M18" s="7">
        <v>3196</v>
      </c>
      <c r="N18" s="7">
        <v>15</v>
      </c>
      <c r="O18" s="7">
        <v>20</v>
      </c>
      <c r="P18" s="7">
        <v>5.0999999999999996</v>
      </c>
      <c r="Q18" s="7">
        <v>171</v>
      </c>
      <c r="R18" s="7">
        <v>419</v>
      </c>
      <c r="S18" s="7">
        <v>1688</v>
      </c>
      <c r="T18" s="7">
        <v>8</v>
      </c>
      <c r="U18" s="7">
        <v>4</v>
      </c>
      <c r="V18" s="7">
        <v>90</v>
      </c>
      <c r="W18" s="7">
        <v>88</v>
      </c>
      <c r="X18" s="7">
        <v>674</v>
      </c>
      <c r="Y18" s="7">
        <v>38</v>
      </c>
      <c r="Z18" s="7">
        <v>27.5</v>
      </c>
      <c r="AA18" s="7">
        <v>15.9</v>
      </c>
      <c r="AB18" s="8">
        <v>-100.13</v>
      </c>
    </row>
    <row r="19" spans="1:28" x14ac:dyDescent="0.3">
      <c r="A19" s="5">
        <v>11</v>
      </c>
      <c r="B19" s="6" t="s">
        <v>10</v>
      </c>
      <c r="C19" s="7">
        <v>17</v>
      </c>
      <c r="D19" s="7">
        <v>449</v>
      </c>
      <c r="E19" s="7">
        <v>6352</v>
      </c>
      <c r="F19" s="7">
        <v>1126</v>
      </c>
      <c r="G19" s="7">
        <v>5.6</v>
      </c>
      <c r="H19" s="7">
        <v>15</v>
      </c>
      <c r="I19" s="7">
        <v>4</v>
      </c>
      <c r="J19" s="7">
        <v>367</v>
      </c>
      <c r="K19" s="7">
        <v>415</v>
      </c>
      <c r="L19" s="7">
        <v>591</v>
      </c>
      <c r="M19" s="7">
        <v>4276</v>
      </c>
      <c r="N19" s="7">
        <v>27</v>
      </c>
      <c r="O19" s="7">
        <v>11</v>
      </c>
      <c r="P19" s="7">
        <v>6.8</v>
      </c>
      <c r="Q19" s="7">
        <v>214</v>
      </c>
      <c r="R19" s="7">
        <v>496</v>
      </c>
      <c r="S19" s="7">
        <v>2076</v>
      </c>
      <c r="T19" s="7">
        <v>23</v>
      </c>
      <c r="U19" s="7">
        <v>4.2</v>
      </c>
      <c r="V19" s="7">
        <v>127</v>
      </c>
      <c r="W19" s="7">
        <v>114</v>
      </c>
      <c r="X19" s="7">
        <v>990</v>
      </c>
      <c r="Y19" s="7">
        <v>26</v>
      </c>
      <c r="Z19" s="7">
        <v>44.7</v>
      </c>
      <c r="AA19" s="7">
        <v>7.8</v>
      </c>
      <c r="AB19" s="8">
        <v>119.94</v>
      </c>
    </row>
    <row r="20" spans="1:28" x14ac:dyDescent="0.3">
      <c r="A20" s="5">
        <v>26</v>
      </c>
      <c r="B20" s="6" t="s">
        <v>25</v>
      </c>
      <c r="C20" s="7">
        <v>17</v>
      </c>
      <c r="D20" s="7">
        <v>313</v>
      </c>
      <c r="E20" s="7">
        <v>5164</v>
      </c>
      <c r="F20" s="7">
        <v>1006</v>
      </c>
      <c r="G20" s="7">
        <v>5.0999999999999996</v>
      </c>
      <c r="H20" s="7">
        <v>26</v>
      </c>
      <c r="I20" s="7">
        <v>11</v>
      </c>
      <c r="J20" s="7">
        <v>306</v>
      </c>
      <c r="K20" s="7">
        <v>377</v>
      </c>
      <c r="L20" s="7">
        <v>573</v>
      </c>
      <c r="M20" s="7">
        <v>3713</v>
      </c>
      <c r="N20" s="7">
        <v>20</v>
      </c>
      <c r="O20" s="7">
        <v>15</v>
      </c>
      <c r="P20" s="7">
        <v>6.1</v>
      </c>
      <c r="Q20" s="7">
        <v>196</v>
      </c>
      <c r="R20" s="7">
        <v>393</v>
      </c>
      <c r="S20" s="7">
        <v>1451</v>
      </c>
      <c r="T20" s="7">
        <v>11</v>
      </c>
      <c r="U20" s="7">
        <v>3.7</v>
      </c>
      <c r="V20" s="7">
        <v>75</v>
      </c>
      <c r="W20" s="7">
        <v>92</v>
      </c>
      <c r="X20" s="7">
        <v>753</v>
      </c>
      <c r="Y20" s="7">
        <v>35</v>
      </c>
      <c r="Z20" s="7">
        <v>32.799999999999997</v>
      </c>
      <c r="AA20" s="7">
        <v>14.7</v>
      </c>
      <c r="AB20" s="8">
        <v>-18.38</v>
      </c>
    </row>
    <row r="21" spans="1:28" ht="15" thickBot="1" x14ac:dyDescent="0.35">
      <c r="A21" s="9">
        <v>7</v>
      </c>
      <c r="B21" s="10" t="s">
        <v>6</v>
      </c>
      <c r="C21" s="11">
        <v>17</v>
      </c>
      <c r="D21" s="11">
        <v>460</v>
      </c>
      <c r="E21" s="11">
        <v>6145</v>
      </c>
      <c r="F21" s="11">
        <v>1046</v>
      </c>
      <c r="G21" s="11">
        <v>5.9</v>
      </c>
      <c r="H21" s="11">
        <v>21</v>
      </c>
      <c r="I21" s="11">
        <v>7</v>
      </c>
      <c r="J21" s="11">
        <v>337</v>
      </c>
      <c r="K21" s="11">
        <v>384</v>
      </c>
      <c r="L21" s="11">
        <v>555</v>
      </c>
      <c r="M21" s="11">
        <v>4403</v>
      </c>
      <c r="N21" s="11">
        <v>36</v>
      </c>
      <c r="O21" s="11">
        <v>14</v>
      </c>
      <c r="P21" s="11">
        <v>7.2</v>
      </c>
      <c r="Q21" s="11">
        <v>208</v>
      </c>
      <c r="R21" s="11">
        <v>436</v>
      </c>
      <c r="S21" s="11">
        <v>1742</v>
      </c>
      <c r="T21" s="11">
        <v>16</v>
      </c>
      <c r="U21" s="11">
        <v>4</v>
      </c>
      <c r="V21" s="11">
        <v>96</v>
      </c>
      <c r="W21" s="11">
        <v>72</v>
      </c>
      <c r="X21" s="11">
        <v>620</v>
      </c>
      <c r="Y21" s="11">
        <v>33</v>
      </c>
      <c r="Z21" s="11">
        <v>42.6</v>
      </c>
      <c r="AA21" s="11">
        <v>10</v>
      </c>
      <c r="AB21" s="12">
        <v>118.5</v>
      </c>
    </row>
    <row r="22" spans="1:28" x14ac:dyDescent="0.3">
      <c r="A22" s="1">
        <v>24</v>
      </c>
      <c r="B22" s="2" t="s">
        <v>23</v>
      </c>
      <c r="C22" s="3">
        <v>17</v>
      </c>
      <c r="D22" s="3">
        <v>335</v>
      </c>
      <c r="E22" s="3">
        <v>5502</v>
      </c>
      <c r="F22" s="3">
        <v>1070</v>
      </c>
      <c r="G22" s="3">
        <v>5.0999999999999996</v>
      </c>
      <c r="H22" s="3">
        <v>24</v>
      </c>
      <c r="I22" s="3">
        <v>9</v>
      </c>
      <c r="J22" s="3">
        <v>345</v>
      </c>
      <c r="K22" s="3">
        <v>356</v>
      </c>
      <c r="L22" s="3">
        <v>550</v>
      </c>
      <c r="M22" s="3">
        <v>3441</v>
      </c>
      <c r="N22" s="3">
        <v>21</v>
      </c>
      <c r="O22" s="3">
        <v>15</v>
      </c>
      <c r="P22" s="3">
        <v>5.8</v>
      </c>
      <c r="Q22" s="3">
        <v>181</v>
      </c>
      <c r="R22" s="3">
        <v>477</v>
      </c>
      <c r="S22" s="3">
        <v>2061</v>
      </c>
      <c r="T22" s="3">
        <v>13</v>
      </c>
      <c r="U22" s="3">
        <v>4.3</v>
      </c>
      <c r="V22" s="3">
        <v>129</v>
      </c>
      <c r="W22" s="3">
        <v>82</v>
      </c>
      <c r="X22" s="3">
        <v>743</v>
      </c>
      <c r="Y22" s="3">
        <v>35</v>
      </c>
      <c r="Z22" s="3">
        <v>34.6</v>
      </c>
      <c r="AA22" s="3">
        <v>13.4</v>
      </c>
      <c r="AB22" s="4">
        <v>15.8</v>
      </c>
    </row>
    <row r="23" spans="1:28" x14ac:dyDescent="0.3">
      <c r="A23" s="5">
        <v>30</v>
      </c>
      <c r="B23" s="6" t="s">
        <v>29</v>
      </c>
      <c r="C23" s="7">
        <v>17</v>
      </c>
      <c r="D23" s="7">
        <v>280</v>
      </c>
      <c r="E23" s="7">
        <v>4727</v>
      </c>
      <c r="F23" s="7">
        <v>1010</v>
      </c>
      <c r="G23" s="7">
        <v>4.7</v>
      </c>
      <c r="H23" s="7">
        <v>22</v>
      </c>
      <c r="I23" s="7">
        <v>7</v>
      </c>
      <c r="J23" s="7">
        <v>266</v>
      </c>
      <c r="K23" s="7">
        <v>354</v>
      </c>
      <c r="L23" s="7">
        <v>546</v>
      </c>
      <c r="M23" s="7">
        <v>3305</v>
      </c>
      <c r="N23" s="7">
        <v>21</v>
      </c>
      <c r="O23" s="7">
        <v>15</v>
      </c>
      <c r="P23" s="7">
        <v>5.6</v>
      </c>
      <c r="Q23" s="7">
        <v>162</v>
      </c>
      <c r="R23" s="7">
        <v>420</v>
      </c>
      <c r="S23" s="7">
        <v>1422</v>
      </c>
      <c r="T23" s="7">
        <v>8</v>
      </c>
      <c r="U23" s="7">
        <v>3.4</v>
      </c>
      <c r="V23" s="7">
        <v>77</v>
      </c>
      <c r="W23" s="7">
        <v>114</v>
      </c>
      <c r="X23" s="7">
        <v>978</v>
      </c>
      <c r="Y23" s="7">
        <v>27</v>
      </c>
      <c r="Z23" s="7">
        <v>26.6</v>
      </c>
      <c r="AA23" s="7">
        <v>11.2</v>
      </c>
      <c r="AB23" s="8">
        <v>-74.290000000000006</v>
      </c>
    </row>
    <row r="24" spans="1:28" x14ac:dyDescent="0.3">
      <c r="A24" s="5">
        <v>27</v>
      </c>
      <c r="B24" s="6" t="s">
        <v>26</v>
      </c>
      <c r="C24" s="7">
        <v>17</v>
      </c>
      <c r="D24" s="7">
        <v>311</v>
      </c>
      <c r="E24" s="7">
        <v>5225</v>
      </c>
      <c r="F24" s="7">
        <v>1075</v>
      </c>
      <c r="G24" s="7">
        <v>4.9000000000000004</v>
      </c>
      <c r="H24" s="7">
        <v>29</v>
      </c>
      <c r="I24" s="7">
        <v>9</v>
      </c>
      <c r="J24" s="7">
        <v>333</v>
      </c>
      <c r="K24" s="7">
        <v>332</v>
      </c>
      <c r="L24" s="7">
        <v>542</v>
      </c>
      <c r="M24" s="7">
        <v>3207</v>
      </c>
      <c r="N24" s="7">
        <v>16</v>
      </c>
      <c r="O24" s="7">
        <v>20</v>
      </c>
      <c r="P24" s="7">
        <v>5.3</v>
      </c>
      <c r="Q24" s="7">
        <v>180</v>
      </c>
      <c r="R24" s="7">
        <v>475</v>
      </c>
      <c r="S24" s="7">
        <v>2018</v>
      </c>
      <c r="T24" s="7">
        <v>14</v>
      </c>
      <c r="U24" s="7">
        <v>4.2</v>
      </c>
      <c r="V24" s="7">
        <v>119</v>
      </c>
      <c r="W24" s="7">
        <v>106</v>
      </c>
      <c r="X24" s="7">
        <v>914</v>
      </c>
      <c r="Y24" s="7">
        <v>34</v>
      </c>
      <c r="Z24" s="7">
        <v>31.5</v>
      </c>
      <c r="AA24" s="7">
        <v>15.2</v>
      </c>
      <c r="AB24" s="8">
        <v>-40.89</v>
      </c>
    </row>
    <row r="25" spans="1:28" x14ac:dyDescent="0.3">
      <c r="A25" s="5">
        <v>23</v>
      </c>
      <c r="B25" s="6" t="s">
        <v>22</v>
      </c>
      <c r="C25" s="7">
        <v>17</v>
      </c>
      <c r="D25" s="7">
        <v>335</v>
      </c>
      <c r="E25" s="7">
        <v>5618</v>
      </c>
      <c r="F25" s="7">
        <v>1036</v>
      </c>
      <c r="G25" s="7">
        <v>5.4</v>
      </c>
      <c r="H25" s="7">
        <v>18</v>
      </c>
      <c r="I25" s="7">
        <v>9</v>
      </c>
      <c r="J25" s="7">
        <v>331</v>
      </c>
      <c r="K25" s="7">
        <v>354</v>
      </c>
      <c r="L25" s="7">
        <v>541</v>
      </c>
      <c r="M25" s="7">
        <v>3593</v>
      </c>
      <c r="N25" s="7">
        <v>20</v>
      </c>
      <c r="O25" s="7">
        <v>9</v>
      </c>
      <c r="P25" s="7">
        <v>6.2</v>
      </c>
      <c r="Q25" s="7">
        <v>179</v>
      </c>
      <c r="R25" s="7">
        <v>455</v>
      </c>
      <c r="S25" s="7">
        <v>2025</v>
      </c>
      <c r="T25" s="7">
        <v>16</v>
      </c>
      <c r="U25" s="7">
        <v>4.5</v>
      </c>
      <c r="V25" s="7">
        <v>124</v>
      </c>
      <c r="W25" s="7">
        <v>83</v>
      </c>
      <c r="X25" s="7">
        <v>711</v>
      </c>
      <c r="Y25" s="7">
        <v>28</v>
      </c>
      <c r="Z25" s="7">
        <v>36.9</v>
      </c>
      <c r="AA25" s="7">
        <v>9.5</v>
      </c>
      <c r="AB25" s="8">
        <v>61.32</v>
      </c>
    </row>
    <row r="26" spans="1:28" x14ac:dyDescent="0.3">
      <c r="A26" s="5">
        <v>6</v>
      </c>
      <c r="B26" s="6" t="s">
        <v>5</v>
      </c>
      <c r="C26" s="7">
        <v>17</v>
      </c>
      <c r="D26" s="7">
        <v>462</v>
      </c>
      <c r="E26" s="7">
        <v>6008</v>
      </c>
      <c r="F26" s="7">
        <v>1052</v>
      </c>
      <c r="G26" s="7">
        <v>5.7</v>
      </c>
      <c r="H26" s="7">
        <v>23</v>
      </c>
      <c r="I26" s="7">
        <v>10</v>
      </c>
      <c r="J26" s="7">
        <v>362</v>
      </c>
      <c r="K26" s="7">
        <v>364</v>
      </c>
      <c r="L26" s="7">
        <v>535</v>
      </c>
      <c r="M26" s="7">
        <v>3857</v>
      </c>
      <c r="N26" s="7">
        <v>24</v>
      </c>
      <c r="O26" s="7">
        <v>13</v>
      </c>
      <c r="P26" s="7">
        <v>6.9</v>
      </c>
      <c r="Q26" s="7">
        <v>187</v>
      </c>
      <c r="R26" s="7">
        <v>489</v>
      </c>
      <c r="S26" s="7">
        <v>2151</v>
      </c>
      <c r="T26" s="7">
        <v>24</v>
      </c>
      <c r="U26" s="7">
        <v>4.4000000000000004</v>
      </c>
      <c r="V26" s="7">
        <v>139</v>
      </c>
      <c r="W26" s="7">
        <v>95</v>
      </c>
      <c r="X26" s="7">
        <v>854</v>
      </c>
      <c r="Y26" s="7">
        <v>36</v>
      </c>
      <c r="Z26" s="7">
        <v>48</v>
      </c>
      <c r="AA26" s="7">
        <v>12.6</v>
      </c>
      <c r="AB26" s="8">
        <v>126.97</v>
      </c>
    </row>
    <row r="27" spans="1:28" x14ac:dyDescent="0.3">
      <c r="A27" s="5">
        <v>15</v>
      </c>
      <c r="B27" s="6" t="s">
        <v>14</v>
      </c>
      <c r="C27" s="7">
        <v>17</v>
      </c>
      <c r="D27" s="7">
        <v>419</v>
      </c>
      <c r="E27" s="7">
        <v>5822</v>
      </c>
      <c r="F27" s="7">
        <v>1133</v>
      </c>
      <c r="G27" s="7">
        <v>5.0999999999999996</v>
      </c>
      <c r="H27" s="7">
        <v>25</v>
      </c>
      <c r="I27" s="7">
        <v>11</v>
      </c>
      <c r="J27" s="7">
        <v>362</v>
      </c>
      <c r="K27" s="7">
        <v>359</v>
      </c>
      <c r="L27" s="7">
        <v>535</v>
      </c>
      <c r="M27" s="7">
        <v>3418</v>
      </c>
      <c r="N27" s="7">
        <v>22</v>
      </c>
      <c r="O27" s="7">
        <v>14</v>
      </c>
      <c r="P27" s="7">
        <v>5.9</v>
      </c>
      <c r="Q27" s="7">
        <v>194</v>
      </c>
      <c r="R27" s="7">
        <v>551</v>
      </c>
      <c r="S27" s="7">
        <v>2404</v>
      </c>
      <c r="T27" s="7">
        <v>23</v>
      </c>
      <c r="U27" s="7">
        <v>4.4000000000000004</v>
      </c>
      <c r="V27" s="7">
        <v>134</v>
      </c>
      <c r="W27" s="7">
        <v>103</v>
      </c>
      <c r="X27" s="7">
        <v>973</v>
      </c>
      <c r="Y27" s="7">
        <v>34</v>
      </c>
      <c r="Z27" s="7">
        <v>38.9</v>
      </c>
      <c r="AA27" s="7">
        <v>13</v>
      </c>
      <c r="AB27" s="8">
        <v>79.19</v>
      </c>
    </row>
    <row r="28" spans="1:28" x14ac:dyDescent="0.3">
      <c r="A28" s="5">
        <v>9</v>
      </c>
      <c r="B28" s="6" t="s">
        <v>8</v>
      </c>
      <c r="C28" s="7">
        <v>17</v>
      </c>
      <c r="D28" s="7">
        <v>451</v>
      </c>
      <c r="E28" s="7">
        <v>5901</v>
      </c>
      <c r="F28" s="7">
        <v>1052</v>
      </c>
      <c r="G28" s="7">
        <v>5.6</v>
      </c>
      <c r="H28" s="7">
        <v>19</v>
      </c>
      <c r="I28" s="7">
        <v>11</v>
      </c>
      <c r="J28" s="7">
        <v>354</v>
      </c>
      <c r="K28" s="7">
        <v>324</v>
      </c>
      <c r="L28" s="7">
        <v>521</v>
      </c>
      <c r="M28" s="7">
        <v>3361</v>
      </c>
      <c r="N28" s="7">
        <v>27</v>
      </c>
      <c r="O28" s="7">
        <v>8</v>
      </c>
      <c r="P28" s="7">
        <v>6.1</v>
      </c>
      <c r="Q28" s="7">
        <v>167</v>
      </c>
      <c r="R28" s="7">
        <v>499</v>
      </c>
      <c r="S28" s="7">
        <v>2540</v>
      </c>
      <c r="T28" s="7">
        <v>22</v>
      </c>
      <c r="U28" s="7">
        <v>5.0999999999999996</v>
      </c>
      <c r="V28" s="7">
        <v>154</v>
      </c>
      <c r="W28" s="7">
        <v>76</v>
      </c>
      <c r="X28" s="7">
        <v>688</v>
      </c>
      <c r="Y28" s="7">
        <v>33</v>
      </c>
      <c r="Z28" s="7">
        <v>43.3</v>
      </c>
      <c r="AA28" s="7">
        <v>8.9</v>
      </c>
      <c r="AB28" s="8">
        <v>127.06</v>
      </c>
    </row>
    <row r="29" spans="1:28" x14ac:dyDescent="0.3">
      <c r="A29" s="5">
        <v>20</v>
      </c>
      <c r="B29" s="6" t="s">
        <v>19</v>
      </c>
      <c r="C29" s="7">
        <v>17</v>
      </c>
      <c r="D29" s="7">
        <v>349</v>
      </c>
      <c r="E29" s="7">
        <v>5791</v>
      </c>
      <c r="F29" s="7">
        <v>1054</v>
      </c>
      <c r="G29" s="7">
        <v>5.5</v>
      </c>
      <c r="H29" s="7">
        <v>22</v>
      </c>
      <c r="I29" s="7">
        <v>8</v>
      </c>
      <c r="J29" s="7">
        <v>342</v>
      </c>
      <c r="K29" s="7">
        <v>320</v>
      </c>
      <c r="L29" s="7">
        <v>520</v>
      </c>
      <c r="M29" s="7">
        <v>3320</v>
      </c>
      <c r="N29" s="7">
        <v>21</v>
      </c>
      <c r="O29" s="7">
        <v>14</v>
      </c>
      <c r="P29" s="7">
        <v>5.8</v>
      </c>
      <c r="Q29" s="7">
        <v>177</v>
      </c>
      <c r="R29" s="7">
        <v>485</v>
      </c>
      <c r="S29" s="7">
        <v>2471</v>
      </c>
      <c r="T29" s="7">
        <v>20</v>
      </c>
      <c r="U29" s="7">
        <v>5.0999999999999996</v>
      </c>
      <c r="V29" s="7">
        <v>138</v>
      </c>
      <c r="W29" s="7">
        <v>112</v>
      </c>
      <c r="X29" s="7">
        <v>1035</v>
      </c>
      <c r="Y29" s="7">
        <v>27</v>
      </c>
      <c r="Z29" s="7">
        <v>32.200000000000003</v>
      </c>
      <c r="AA29" s="7">
        <v>12.4</v>
      </c>
      <c r="AB29" s="8">
        <v>58.4</v>
      </c>
    </row>
    <row r="30" spans="1:28" x14ac:dyDescent="0.3">
      <c r="A30" s="5">
        <v>13</v>
      </c>
      <c r="B30" s="6" t="s">
        <v>12</v>
      </c>
      <c r="C30" s="7">
        <v>17</v>
      </c>
      <c r="D30" s="7">
        <v>427</v>
      </c>
      <c r="E30" s="7">
        <v>6387</v>
      </c>
      <c r="F30" s="7">
        <v>1046</v>
      </c>
      <c r="G30" s="7">
        <v>6.1</v>
      </c>
      <c r="H30" s="7">
        <v>24</v>
      </c>
      <c r="I30" s="7">
        <v>10</v>
      </c>
      <c r="J30" s="7">
        <v>361</v>
      </c>
      <c r="K30" s="7">
        <v>343</v>
      </c>
      <c r="L30" s="7">
        <v>514</v>
      </c>
      <c r="M30" s="7">
        <v>4221</v>
      </c>
      <c r="N30" s="7">
        <v>26</v>
      </c>
      <c r="O30" s="7">
        <v>14</v>
      </c>
      <c r="P30" s="7">
        <v>7.7</v>
      </c>
      <c r="Q30" s="7">
        <v>200</v>
      </c>
      <c r="R30" s="7">
        <v>499</v>
      </c>
      <c r="S30" s="7">
        <v>2166</v>
      </c>
      <c r="T30" s="7">
        <v>22</v>
      </c>
      <c r="U30" s="7">
        <v>4.3</v>
      </c>
      <c r="V30" s="7">
        <v>130</v>
      </c>
      <c r="W30" s="7">
        <v>102</v>
      </c>
      <c r="X30" s="7">
        <v>1066</v>
      </c>
      <c r="Y30" s="7">
        <v>31</v>
      </c>
      <c r="Z30" s="7">
        <v>41.2</v>
      </c>
      <c r="AA30" s="7">
        <v>11.5</v>
      </c>
      <c r="AB30" s="8">
        <v>130.03</v>
      </c>
    </row>
    <row r="31" spans="1:28" x14ac:dyDescent="0.3">
      <c r="A31" s="5">
        <v>19</v>
      </c>
      <c r="B31" s="6" t="s">
        <v>18</v>
      </c>
      <c r="C31" s="7">
        <v>17</v>
      </c>
      <c r="D31" s="7">
        <v>364</v>
      </c>
      <c r="E31" s="7">
        <v>5177</v>
      </c>
      <c r="F31" s="7">
        <v>1051</v>
      </c>
      <c r="G31" s="7">
        <v>4.9000000000000004</v>
      </c>
      <c r="H31" s="7">
        <v>18</v>
      </c>
      <c r="I31" s="7">
        <v>5</v>
      </c>
      <c r="J31" s="7">
        <v>307</v>
      </c>
      <c r="K31" s="7">
        <v>293</v>
      </c>
      <c r="L31" s="7">
        <v>504</v>
      </c>
      <c r="M31" s="7">
        <v>3186</v>
      </c>
      <c r="N31" s="7">
        <v>29</v>
      </c>
      <c r="O31" s="7">
        <v>13</v>
      </c>
      <c r="P31" s="7">
        <v>5.9</v>
      </c>
      <c r="Q31" s="7">
        <v>165</v>
      </c>
      <c r="R31" s="7">
        <v>510</v>
      </c>
      <c r="S31" s="7">
        <v>1991</v>
      </c>
      <c r="T31" s="7">
        <v>12</v>
      </c>
      <c r="U31" s="7">
        <v>3.9</v>
      </c>
      <c r="V31" s="7">
        <v>113</v>
      </c>
      <c r="W31" s="7">
        <v>98</v>
      </c>
      <c r="X31" s="7">
        <v>811</v>
      </c>
      <c r="Y31" s="7">
        <v>29</v>
      </c>
      <c r="Z31" s="7">
        <v>33.700000000000003</v>
      </c>
      <c r="AA31" s="7">
        <v>8.6999999999999993</v>
      </c>
      <c r="AB31" s="8">
        <v>-11.97</v>
      </c>
    </row>
    <row r="32" spans="1:28" x14ac:dyDescent="0.3">
      <c r="A32" s="5">
        <v>16</v>
      </c>
      <c r="B32" s="6" t="s">
        <v>15</v>
      </c>
      <c r="C32" s="7">
        <v>17</v>
      </c>
      <c r="D32" s="7">
        <v>395</v>
      </c>
      <c r="E32" s="7">
        <v>5506</v>
      </c>
      <c r="F32" s="7">
        <v>954</v>
      </c>
      <c r="G32" s="7">
        <v>5.8</v>
      </c>
      <c r="H32" s="7">
        <v>13</v>
      </c>
      <c r="I32" s="7">
        <v>6</v>
      </c>
      <c r="J32" s="7">
        <v>302</v>
      </c>
      <c r="K32" s="7">
        <v>324</v>
      </c>
      <c r="L32" s="7">
        <v>495</v>
      </c>
      <c r="M32" s="7">
        <v>3432</v>
      </c>
      <c r="N32" s="7">
        <v>30</v>
      </c>
      <c r="O32" s="7">
        <v>7</v>
      </c>
      <c r="P32" s="7">
        <v>6.3</v>
      </c>
      <c r="Q32" s="7">
        <v>166</v>
      </c>
      <c r="R32" s="7">
        <v>413</v>
      </c>
      <c r="S32" s="7">
        <v>2074</v>
      </c>
      <c r="T32" s="7">
        <v>18</v>
      </c>
      <c r="U32" s="7">
        <v>5</v>
      </c>
      <c r="V32" s="7">
        <v>106</v>
      </c>
      <c r="W32" s="7">
        <v>97</v>
      </c>
      <c r="X32" s="7">
        <v>803</v>
      </c>
      <c r="Y32" s="7">
        <v>30</v>
      </c>
      <c r="Z32" s="7">
        <v>34.799999999999997</v>
      </c>
      <c r="AA32" s="7">
        <v>7</v>
      </c>
      <c r="AB32" s="8">
        <v>101.56</v>
      </c>
    </row>
    <row r="33" spans="1:28" x14ac:dyDescent="0.3">
      <c r="A33" s="9">
        <v>12</v>
      </c>
      <c r="B33" s="10" t="s">
        <v>11</v>
      </c>
      <c r="C33" s="11">
        <v>17</v>
      </c>
      <c r="D33" s="11">
        <v>444</v>
      </c>
      <c r="E33" s="11">
        <v>6119</v>
      </c>
      <c r="F33" s="11">
        <v>1075</v>
      </c>
      <c r="G33" s="11">
        <v>5.7</v>
      </c>
      <c r="H33" s="11">
        <v>16</v>
      </c>
      <c r="I33" s="11">
        <v>6</v>
      </c>
      <c r="J33" s="11">
        <v>352</v>
      </c>
      <c r="K33" s="11">
        <v>307</v>
      </c>
      <c r="L33" s="11">
        <v>494</v>
      </c>
      <c r="M33" s="11">
        <v>3404</v>
      </c>
      <c r="N33" s="11">
        <v>20</v>
      </c>
      <c r="O33" s="11">
        <v>10</v>
      </c>
      <c r="P33" s="11">
        <v>6.5</v>
      </c>
      <c r="Q33" s="11">
        <v>167</v>
      </c>
      <c r="R33" s="11">
        <v>550</v>
      </c>
      <c r="S33" s="11">
        <v>2715</v>
      </c>
      <c r="T33" s="11">
        <v>25</v>
      </c>
      <c r="U33" s="11">
        <v>4.9000000000000004</v>
      </c>
      <c r="V33" s="11">
        <v>163</v>
      </c>
      <c r="W33" s="11">
        <v>107</v>
      </c>
      <c r="X33" s="11">
        <v>842</v>
      </c>
      <c r="Y33" s="11">
        <v>22</v>
      </c>
      <c r="Z33" s="11">
        <v>43.4</v>
      </c>
      <c r="AA33" s="11">
        <v>9.1999999999999993</v>
      </c>
      <c r="AB33" s="12">
        <v>113.05</v>
      </c>
    </row>
  </sheetData>
  <autoFilter ref="A1:AB33" xr:uid="{DABAFC47-5CC2-4720-B080-42B83846C571}">
    <sortState xmlns:xlrd2="http://schemas.microsoft.com/office/spreadsheetml/2017/richdata2" ref="A2:AB33">
      <sortCondition descending="1" ref="L1:L33"/>
    </sortState>
  </autoFilter>
  <hyperlinks>
    <hyperlink ref="B7" r:id="rId1" display="https://www.pro-football-reference.com/teams/dal/2021.htm" xr:uid="{052CC40C-C48C-4DA5-ADC1-B43D1D2D7724}"/>
    <hyperlink ref="B2" r:id="rId2" display="https://www.pro-football-reference.com/teams/tam/2021.htm" xr:uid="{370370D8-8E34-4F00-8CFE-2E7E67C30F70}"/>
    <hyperlink ref="B6" r:id="rId3" display="https://www.pro-football-reference.com/teams/buf/2021.htm" xr:uid="{E4973581-2267-47F7-A96C-C91397D46871}"/>
    <hyperlink ref="B3" r:id="rId4" display="https://www.pro-football-reference.com/teams/kan/2021.htm" xr:uid="{6A4D349D-F254-4655-A970-C9EC2912F63C}"/>
    <hyperlink ref="B4" r:id="rId5" display="https://www.pro-football-reference.com/teams/sdg/2021.htm" xr:uid="{25958871-B33B-4D6C-95C1-A2238E0155E0}"/>
    <hyperlink ref="B26" r:id="rId6" display="https://www.pro-football-reference.com/teams/nwe/2021.htm" xr:uid="{267F8703-1137-49B6-B597-313FC78A3438}"/>
    <hyperlink ref="B21" r:id="rId7" display="https://www.pro-football-reference.com/teams/cin/2021.htm" xr:uid="{4C8E1A4A-D331-4E5E-B854-F83D83F0AFA3}"/>
    <hyperlink ref="B11" r:id="rId8" display="https://www.pro-football-reference.com/teams/ram/2021.htm" xr:uid="{9F34681D-01FF-4EDC-9AFA-D2759F47DE44}"/>
    <hyperlink ref="B28" r:id="rId9" display="https://www.pro-football-reference.com/teams/clt/2021.htm" xr:uid="{3640166A-B7E6-45DD-AC09-CBE90E72241A}"/>
    <hyperlink ref="B16" r:id="rId10" display="https://www.pro-football-reference.com/teams/gnb/2021.htm" xr:uid="{1DAC5980-0FA4-4828-B09C-A9E01D5559CA}"/>
    <hyperlink ref="B19" r:id="rId11" display="https://www.pro-football-reference.com/teams/crd/2021.htm" xr:uid="{EED70254-2DBA-4956-AE50-D22248090D88}"/>
    <hyperlink ref="B33" r:id="rId12" display="https://www.pro-football-reference.com/teams/phi/2021.htm" xr:uid="{7833BDE3-B09F-4C01-B4FE-E8D08D5ECAD0}"/>
    <hyperlink ref="B30" r:id="rId13" display="https://www.pro-football-reference.com/teams/sfo/2021.htm" xr:uid="{29C07D72-A7DF-4004-9797-7B9A78533A75}"/>
    <hyperlink ref="B12" r:id="rId14" display="https://www.pro-football-reference.com/teams/min/2021.htm" xr:uid="{28596148-65FA-4286-8E89-0159736656C1}"/>
    <hyperlink ref="B27" r:id="rId15" display="https://www.pro-football-reference.com/teams/oti/2021.htm" xr:uid="{7217B6E4-E2D1-4DD1-ABE0-5A296256AED1}"/>
    <hyperlink ref="B32" r:id="rId16" display="https://www.pro-football-reference.com/teams/sea/2021.htm" xr:uid="{60279331-B2AC-43E4-ADB3-32E2C96D966B}"/>
    <hyperlink ref="B10" r:id="rId17" display="https://www.pro-football-reference.com/teams/rav/2021.htm" xr:uid="{D344A551-A7CB-423B-A102-2733BD0CE1E9}"/>
    <hyperlink ref="B8" r:id="rId18" display="https://www.pro-football-reference.com/teams/rai/2021.htm" xr:uid="{DFA2373B-491F-4D69-A92E-38B7E681A1D0}"/>
    <hyperlink ref="B31" r:id="rId19" display="https://www.pro-football-reference.com/teams/nor/2021.htm" xr:uid="{847A9C78-52FE-47C9-A343-5FB45D0118AE}"/>
    <hyperlink ref="B29" r:id="rId20" display="https://www.pro-football-reference.com/teams/cle/2021.htm" xr:uid="{89588213-A465-4F6E-A936-A02D84FEF182}"/>
    <hyperlink ref="B5" r:id="rId21" display="https://www.pro-football-reference.com/teams/pit/2021.htm" xr:uid="{72F3C648-0C82-4B71-B4C1-B36CB98BA213}"/>
    <hyperlink ref="B9" r:id="rId22" display="https://www.pro-football-reference.com/teams/mia/2021.htm" xr:uid="{37DDACC6-D857-452E-B0F8-FDF5EFB7E572}"/>
    <hyperlink ref="B25" r:id="rId23" display="https://www.pro-football-reference.com/teams/den/2021.htm" xr:uid="{3BC54161-18BE-4F91-88B5-CB6E8603E78F}"/>
    <hyperlink ref="B22" r:id="rId24" display="https://www.pro-football-reference.com/teams/was/2021.htm" xr:uid="{0F1BB957-6696-40FC-8137-697A4568F1C0}"/>
    <hyperlink ref="B17" r:id="rId25" display="https://www.pro-football-reference.com/teams/det/2021.htm" xr:uid="{609351A4-BC5D-43F2-8324-A52340E7B973}"/>
    <hyperlink ref="B20" r:id="rId26" display="https://www.pro-football-reference.com/teams/atl/2021.htm" xr:uid="{C07707CC-63FE-48DD-AF3A-C0530D63C60D}"/>
    <hyperlink ref="B24" r:id="rId27" display="https://www.pro-football-reference.com/teams/chi/2021.htm" xr:uid="{9BA87719-29E0-42A0-B9A5-D2999BA0D262}"/>
    <hyperlink ref="B14" r:id="rId28" display="https://www.pro-football-reference.com/teams/nyj/2021.htm" xr:uid="{3D4A5A97-7AB4-4EA0-8B72-61556DA8BA70}"/>
    <hyperlink ref="B15" r:id="rId29" display="https://www.pro-football-reference.com/teams/car/2021.htm" xr:uid="{B188A548-ADD7-4F3A-B6F1-9522DECA4A8F}"/>
    <hyperlink ref="B23" r:id="rId30" display="https://www.pro-football-reference.com/teams/htx/2021.htm" xr:uid="{96762DD6-6207-4FF9-B5FB-AD75C95E2F7F}"/>
    <hyperlink ref="B18" r:id="rId31" display="https://www.pro-football-reference.com/teams/nyg/2021.htm" xr:uid="{7E86D08A-5F95-471F-871D-82142D572BA5}"/>
    <hyperlink ref="B13" r:id="rId32" display="https://www.pro-football-reference.com/teams/jax/2021.htm" xr:uid="{17589F19-696F-49B0-973F-0BA1041A9BE8}"/>
  </hyperlinks>
  <pageMargins left="0.7" right="0.7" top="0.75" bottom="0.75" header="0.3" footer="0.3"/>
  <pageSetup orientation="portrait" r:id="rId3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CA03A-326F-4A26-A138-CDD5292FD235}">
  <sheetPr codeName="Sheet4"/>
  <dimension ref="A1:V33"/>
  <sheetViews>
    <sheetView workbookViewId="0">
      <selection activeCell="Q2" sqref="Q2"/>
    </sheetView>
  </sheetViews>
  <sheetFormatPr defaultRowHeight="14.4" x14ac:dyDescent="0.3"/>
  <sheetData>
    <row r="1" spans="1:22" x14ac:dyDescent="0.3">
      <c r="A1" t="s">
        <v>53</v>
      </c>
      <c r="B1" t="s">
        <v>43</v>
      </c>
      <c r="C1" t="s">
        <v>42</v>
      </c>
      <c r="D1" t="s">
        <v>60</v>
      </c>
      <c r="E1" t="s">
        <v>61</v>
      </c>
      <c r="F1" t="s">
        <v>62</v>
      </c>
      <c r="G1" t="s">
        <v>44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199</v>
      </c>
      <c r="R1" t="s">
        <v>195</v>
      </c>
      <c r="S1" t="s">
        <v>196</v>
      </c>
      <c r="T1" t="s">
        <v>197</v>
      </c>
      <c r="U1" t="s">
        <v>198</v>
      </c>
      <c r="V1" t="s">
        <v>213</v>
      </c>
    </row>
    <row r="2" spans="1:22" x14ac:dyDescent="0.3">
      <c r="A2" t="s">
        <v>12</v>
      </c>
      <c r="B2">
        <v>514</v>
      </c>
      <c r="C2">
        <v>343</v>
      </c>
      <c r="D2">
        <v>66.7</v>
      </c>
      <c r="E2">
        <v>8.6</v>
      </c>
      <c r="F2">
        <v>4437</v>
      </c>
      <c r="G2">
        <v>26</v>
      </c>
      <c r="H2">
        <v>14</v>
      </c>
      <c r="I2">
        <v>99.2</v>
      </c>
      <c r="J2">
        <v>200</v>
      </c>
      <c r="K2">
        <v>38.9</v>
      </c>
      <c r="L2">
        <v>63</v>
      </c>
      <c r="M2">
        <v>11</v>
      </c>
      <c r="N2">
        <v>83</v>
      </c>
      <c r="O2">
        <v>33</v>
      </c>
      <c r="P2">
        <v>216</v>
      </c>
      <c r="Q2" s="17">
        <f>H2/B2</f>
        <v>2.7237354085603113E-2</v>
      </c>
      <c r="R2" s="17">
        <f>(B2-C2)/B2</f>
        <v>0.33268482490272372</v>
      </c>
      <c r="S2" s="17">
        <f>(C2-L2-M2)/B2</f>
        <v>0.52334630350194555</v>
      </c>
      <c r="T2" s="17">
        <f>(L2-M2)/B2</f>
        <v>0.10116731517509728</v>
      </c>
      <c r="U2" s="17">
        <f>M2/B2</f>
        <v>2.1400778210116732E-2</v>
      </c>
      <c r="V2" s="20">
        <f>(T2*15+U2*45-E2)/S2*(-1)</f>
        <v>11.692936802973977</v>
      </c>
    </row>
    <row r="3" spans="1:22" x14ac:dyDescent="0.3">
      <c r="A3" t="s">
        <v>26</v>
      </c>
      <c r="B3">
        <v>542</v>
      </c>
      <c r="C3">
        <v>332</v>
      </c>
      <c r="D3">
        <v>61.3</v>
      </c>
      <c r="E3">
        <v>6.7</v>
      </c>
      <c r="F3">
        <v>3635</v>
      </c>
      <c r="G3">
        <v>16</v>
      </c>
      <c r="H3">
        <v>20</v>
      </c>
      <c r="I3">
        <v>75.5</v>
      </c>
      <c r="J3">
        <v>180</v>
      </c>
      <c r="K3">
        <v>33.200000000000003</v>
      </c>
      <c r="L3">
        <v>40</v>
      </c>
      <c r="M3">
        <v>7</v>
      </c>
      <c r="N3">
        <v>64</v>
      </c>
      <c r="O3">
        <v>58</v>
      </c>
      <c r="P3">
        <v>428</v>
      </c>
      <c r="Q3" s="17">
        <f t="shared" ref="Q3:Q33" si="0">H3/B3</f>
        <v>3.6900369003690037E-2</v>
      </c>
      <c r="R3" s="17">
        <f t="shared" ref="R3:R33" si="1">(B3-C3)/B3</f>
        <v>0.38745387453874541</v>
      </c>
      <c r="S3" s="17">
        <f t="shared" ref="S3:S33" si="2">(C3-L3-M3)/B3</f>
        <v>0.52583025830258301</v>
      </c>
      <c r="T3" s="17">
        <f t="shared" ref="T3:T33" si="3">(L3-M3)/B3</f>
        <v>6.0885608856088562E-2</v>
      </c>
      <c r="U3" s="17">
        <f t="shared" ref="U3:U33" si="4">M3/B3</f>
        <v>1.2915129151291513E-2</v>
      </c>
      <c r="V3" s="20">
        <f t="shared" ref="V3:V33" si="5">(T3*15+U3*45-E3)/S3*(-1)</f>
        <v>9.899649122807018</v>
      </c>
    </row>
    <row r="4" spans="1:22" x14ac:dyDescent="0.3">
      <c r="A4" t="s">
        <v>6</v>
      </c>
      <c r="B4">
        <v>555</v>
      </c>
      <c r="C4">
        <v>384</v>
      </c>
      <c r="D4">
        <v>69.2</v>
      </c>
      <c r="E4">
        <v>8.6999999999999993</v>
      </c>
      <c r="F4">
        <v>4806</v>
      </c>
      <c r="G4">
        <v>36</v>
      </c>
      <c r="H4">
        <v>14</v>
      </c>
      <c r="I4">
        <v>106.9</v>
      </c>
      <c r="J4">
        <v>208</v>
      </c>
      <c r="K4">
        <v>37.5</v>
      </c>
      <c r="L4">
        <v>63</v>
      </c>
      <c r="M4">
        <v>16</v>
      </c>
      <c r="N4" t="s">
        <v>102</v>
      </c>
      <c r="O4">
        <v>55</v>
      </c>
      <c r="P4">
        <v>403</v>
      </c>
      <c r="Q4" s="17">
        <f t="shared" si="0"/>
        <v>2.5225225225225224E-2</v>
      </c>
      <c r="R4" s="17">
        <f t="shared" si="1"/>
        <v>0.30810810810810813</v>
      </c>
      <c r="S4" s="17">
        <f t="shared" si="2"/>
        <v>0.5495495495495496</v>
      </c>
      <c r="T4" s="17">
        <f t="shared" si="3"/>
        <v>8.468468468468468E-2</v>
      </c>
      <c r="U4" s="17">
        <f t="shared" si="4"/>
        <v>2.8828828828828829E-2</v>
      </c>
      <c r="V4" s="20">
        <f t="shared" si="5"/>
        <v>11.15901639344262</v>
      </c>
    </row>
    <row r="5" spans="1:22" x14ac:dyDescent="0.3">
      <c r="A5" t="s">
        <v>2</v>
      </c>
      <c r="B5">
        <v>655</v>
      </c>
      <c r="C5">
        <v>415</v>
      </c>
      <c r="D5">
        <v>63.4</v>
      </c>
      <c r="E5">
        <v>6.8</v>
      </c>
      <c r="F5">
        <v>4450</v>
      </c>
      <c r="G5">
        <v>36</v>
      </c>
      <c r="H5">
        <v>16</v>
      </c>
      <c r="I5">
        <v>91.3</v>
      </c>
      <c r="J5">
        <v>236</v>
      </c>
      <c r="K5">
        <v>36</v>
      </c>
      <c r="L5">
        <v>51</v>
      </c>
      <c r="M5">
        <v>8</v>
      </c>
      <c r="N5">
        <v>61</v>
      </c>
      <c r="O5">
        <v>27</v>
      </c>
      <c r="P5">
        <v>166</v>
      </c>
      <c r="Q5" s="17">
        <f t="shared" si="0"/>
        <v>2.4427480916030534E-2</v>
      </c>
      <c r="R5" s="17">
        <f t="shared" si="1"/>
        <v>0.36641221374045801</v>
      </c>
      <c r="S5" s="17">
        <f t="shared" si="2"/>
        <v>0.54351145038167936</v>
      </c>
      <c r="T5" s="17">
        <f t="shared" si="3"/>
        <v>6.5648854961832065E-2</v>
      </c>
      <c r="U5" s="17">
        <f t="shared" si="4"/>
        <v>1.2213740458015267E-2</v>
      </c>
      <c r="V5" s="20">
        <f t="shared" si="5"/>
        <v>9.6882022471910112</v>
      </c>
    </row>
    <row r="6" spans="1:22" x14ac:dyDescent="0.3">
      <c r="A6" t="s">
        <v>22</v>
      </c>
      <c r="B6">
        <v>541</v>
      </c>
      <c r="C6">
        <v>354</v>
      </c>
      <c r="D6">
        <v>65.400000000000006</v>
      </c>
      <c r="E6">
        <v>7.1</v>
      </c>
      <c r="F6">
        <v>3856</v>
      </c>
      <c r="G6">
        <v>20</v>
      </c>
      <c r="H6">
        <v>9</v>
      </c>
      <c r="I6">
        <v>91.7</v>
      </c>
      <c r="J6">
        <v>179</v>
      </c>
      <c r="K6">
        <v>33.1</v>
      </c>
      <c r="L6">
        <v>46</v>
      </c>
      <c r="M6">
        <v>7</v>
      </c>
      <c r="N6">
        <v>64</v>
      </c>
      <c r="O6">
        <v>40</v>
      </c>
      <c r="P6">
        <v>263</v>
      </c>
      <c r="Q6" s="17">
        <f t="shared" si="0"/>
        <v>1.6635859519408502E-2</v>
      </c>
      <c r="R6" s="17">
        <f t="shared" si="1"/>
        <v>0.34565619223659888</v>
      </c>
      <c r="S6" s="17">
        <f t="shared" si="2"/>
        <v>0.55637707948243997</v>
      </c>
      <c r="T6" s="17">
        <f t="shared" si="3"/>
        <v>7.2088724584103508E-2</v>
      </c>
      <c r="U6" s="17">
        <f t="shared" si="4"/>
        <v>1.2939001848428836E-2</v>
      </c>
      <c r="V6" s="20">
        <f t="shared" si="5"/>
        <v>9.77109634551495</v>
      </c>
    </row>
    <row r="7" spans="1:22" x14ac:dyDescent="0.3">
      <c r="A7" t="s">
        <v>19</v>
      </c>
      <c r="B7">
        <v>520</v>
      </c>
      <c r="C7">
        <v>320</v>
      </c>
      <c r="D7">
        <v>61.5</v>
      </c>
      <c r="E7">
        <v>7</v>
      </c>
      <c r="F7">
        <v>3619</v>
      </c>
      <c r="G7">
        <v>21</v>
      </c>
      <c r="H7">
        <v>14</v>
      </c>
      <c r="I7">
        <v>84.6</v>
      </c>
      <c r="J7">
        <v>177</v>
      </c>
      <c r="K7">
        <v>34</v>
      </c>
      <c r="L7">
        <v>47</v>
      </c>
      <c r="M7">
        <v>9</v>
      </c>
      <c r="N7" t="s">
        <v>114</v>
      </c>
      <c r="O7">
        <v>49</v>
      </c>
      <c r="P7">
        <v>299</v>
      </c>
      <c r="Q7" s="17">
        <f t="shared" si="0"/>
        <v>2.6923076923076925E-2</v>
      </c>
      <c r="R7" s="17">
        <f t="shared" si="1"/>
        <v>0.38461538461538464</v>
      </c>
      <c r="S7" s="17">
        <f t="shared" si="2"/>
        <v>0.50769230769230766</v>
      </c>
      <c r="T7" s="17">
        <f t="shared" si="3"/>
        <v>7.3076923076923081E-2</v>
      </c>
      <c r="U7" s="17">
        <f t="shared" si="4"/>
        <v>1.7307692307692309E-2</v>
      </c>
      <c r="V7" s="20">
        <f t="shared" si="5"/>
        <v>10.094696969696971</v>
      </c>
    </row>
    <row r="8" spans="1:22" x14ac:dyDescent="0.3">
      <c r="A8" t="s">
        <v>1</v>
      </c>
      <c r="B8">
        <v>731</v>
      </c>
      <c r="C8">
        <v>492</v>
      </c>
      <c r="D8">
        <v>67.3</v>
      </c>
      <c r="E8">
        <v>7.4</v>
      </c>
      <c r="F8">
        <v>5383</v>
      </c>
      <c r="G8">
        <v>43</v>
      </c>
      <c r="H8">
        <v>12</v>
      </c>
      <c r="I8">
        <v>101.6</v>
      </c>
      <c r="J8">
        <v>273</v>
      </c>
      <c r="K8">
        <v>37.299999999999997</v>
      </c>
      <c r="L8">
        <v>76</v>
      </c>
      <c r="M8">
        <v>10</v>
      </c>
      <c r="N8" t="s">
        <v>73</v>
      </c>
      <c r="O8">
        <v>23</v>
      </c>
      <c r="P8">
        <v>154</v>
      </c>
      <c r="Q8" s="17">
        <f t="shared" si="0"/>
        <v>1.6415868673050615E-2</v>
      </c>
      <c r="R8" s="17">
        <f t="shared" si="1"/>
        <v>0.32694938440492477</v>
      </c>
      <c r="S8" s="17">
        <f t="shared" si="2"/>
        <v>0.55540355677154585</v>
      </c>
      <c r="T8" s="17">
        <f t="shared" si="3"/>
        <v>9.0287277701778385E-2</v>
      </c>
      <c r="U8" s="17">
        <f t="shared" si="4"/>
        <v>1.3679890560875513E-2</v>
      </c>
      <c r="V8" s="20">
        <f t="shared" si="5"/>
        <v>9.7768472906403954</v>
      </c>
    </row>
    <row r="9" spans="1:22" x14ac:dyDescent="0.3">
      <c r="A9" t="s">
        <v>10</v>
      </c>
      <c r="B9">
        <v>591</v>
      </c>
      <c r="C9">
        <v>415</v>
      </c>
      <c r="D9">
        <v>70.2</v>
      </c>
      <c r="E9">
        <v>7.8</v>
      </c>
      <c r="F9">
        <v>4619</v>
      </c>
      <c r="G9">
        <v>27</v>
      </c>
      <c r="H9">
        <v>11</v>
      </c>
      <c r="I9">
        <v>100.6</v>
      </c>
      <c r="J9">
        <v>214</v>
      </c>
      <c r="K9">
        <v>36.200000000000003</v>
      </c>
      <c r="L9">
        <v>62</v>
      </c>
      <c r="M9">
        <v>11</v>
      </c>
      <c r="N9" t="s">
        <v>99</v>
      </c>
      <c r="O9">
        <v>39</v>
      </c>
      <c r="P9">
        <v>343</v>
      </c>
      <c r="Q9" s="17">
        <f t="shared" si="0"/>
        <v>1.8612521150592216E-2</v>
      </c>
      <c r="R9" s="17">
        <f t="shared" si="1"/>
        <v>0.29780033840947545</v>
      </c>
      <c r="S9" s="17">
        <f t="shared" si="2"/>
        <v>0.57868020304568524</v>
      </c>
      <c r="T9" s="17">
        <f t="shared" si="3"/>
        <v>8.6294416243654817E-2</v>
      </c>
      <c r="U9" s="17">
        <f t="shared" si="4"/>
        <v>1.8612521150592216E-2</v>
      </c>
      <c r="V9" s="20">
        <f t="shared" si="5"/>
        <v>9.7947368421052641</v>
      </c>
    </row>
    <row r="10" spans="1:22" x14ac:dyDescent="0.3">
      <c r="A10" t="s">
        <v>4</v>
      </c>
      <c r="B10">
        <v>674</v>
      </c>
      <c r="C10">
        <v>443</v>
      </c>
      <c r="D10">
        <v>65.7</v>
      </c>
      <c r="E10">
        <v>7.4</v>
      </c>
      <c r="F10">
        <v>5014</v>
      </c>
      <c r="G10">
        <v>38</v>
      </c>
      <c r="H10">
        <v>15</v>
      </c>
      <c r="I10">
        <v>97.4</v>
      </c>
      <c r="J10">
        <v>256</v>
      </c>
      <c r="K10">
        <v>38</v>
      </c>
      <c r="L10">
        <v>53</v>
      </c>
      <c r="M10">
        <v>15</v>
      </c>
      <c r="N10" t="s">
        <v>77</v>
      </c>
      <c r="O10">
        <v>31</v>
      </c>
      <c r="P10">
        <v>214</v>
      </c>
      <c r="Q10" s="17">
        <f t="shared" si="0"/>
        <v>2.2255192878338281E-2</v>
      </c>
      <c r="R10" s="17">
        <f t="shared" si="1"/>
        <v>0.34272997032640951</v>
      </c>
      <c r="S10" s="17">
        <f t="shared" si="2"/>
        <v>0.55637982195845692</v>
      </c>
      <c r="T10" s="17">
        <f t="shared" si="3"/>
        <v>5.637982195845697E-2</v>
      </c>
      <c r="U10" s="17">
        <f t="shared" si="4"/>
        <v>2.2255192878338281E-2</v>
      </c>
      <c r="V10" s="20">
        <f t="shared" si="5"/>
        <v>9.9802666666666688</v>
      </c>
    </row>
    <row r="11" spans="1:22" x14ac:dyDescent="0.3">
      <c r="A11" t="s">
        <v>3</v>
      </c>
      <c r="B11">
        <v>675</v>
      </c>
      <c r="C11">
        <v>448</v>
      </c>
      <c r="D11">
        <v>66.400000000000006</v>
      </c>
      <c r="E11">
        <v>7.3</v>
      </c>
      <c r="F11">
        <v>4937</v>
      </c>
      <c r="G11">
        <v>37</v>
      </c>
      <c r="H11">
        <v>13</v>
      </c>
      <c r="I11">
        <v>98.1</v>
      </c>
      <c r="J11">
        <v>267</v>
      </c>
      <c r="K11">
        <v>39.6</v>
      </c>
      <c r="L11">
        <v>58</v>
      </c>
      <c r="M11">
        <v>11</v>
      </c>
      <c r="N11" t="s">
        <v>75</v>
      </c>
      <c r="O11">
        <v>28</v>
      </c>
      <c r="P11">
        <v>146</v>
      </c>
      <c r="Q11" s="17">
        <f t="shared" si="0"/>
        <v>1.9259259259259261E-2</v>
      </c>
      <c r="R11" s="17">
        <f t="shared" si="1"/>
        <v>0.33629629629629632</v>
      </c>
      <c r="S11" s="17">
        <f t="shared" si="2"/>
        <v>0.56148148148148147</v>
      </c>
      <c r="T11" s="17">
        <f t="shared" si="3"/>
        <v>6.9629629629629625E-2</v>
      </c>
      <c r="U11" s="17">
        <f t="shared" si="4"/>
        <v>1.6296296296296295E-2</v>
      </c>
      <c r="V11" s="20">
        <f t="shared" si="5"/>
        <v>9.8350923482849613</v>
      </c>
    </row>
    <row r="12" spans="1:22" x14ac:dyDescent="0.3">
      <c r="A12" t="s">
        <v>8</v>
      </c>
      <c r="B12">
        <v>521</v>
      </c>
      <c r="C12">
        <v>324</v>
      </c>
      <c r="D12">
        <v>62.2</v>
      </c>
      <c r="E12">
        <v>6.9</v>
      </c>
      <c r="F12">
        <v>3588</v>
      </c>
      <c r="G12">
        <v>27</v>
      </c>
      <c r="H12">
        <v>8</v>
      </c>
      <c r="I12">
        <v>93.5</v>
      </c>
      <c r="J12">
        <v>167</v>
      </c>
      <c r="K12">
        <v>32.1</v>
      </c>
      <c r="L12">
        <v>42</v>
      </c>
      <c r="M12">
        <v>9</v>
      </c>
      <c r="N12" t="s">
        <v>112</v>
      </c>
      <c r="O12">
        <v>32</v>
      </c>
      <c r="P12">
        <v>227</v>
      </c>
      <c r="Q12" s="17">
        <f t="shared" si="0"/>
        <v>1.5355086372360844E-2</v>
      </c>
      <c r="R12" s="17">
        <f t="shared" si="1"/>
        <v>0.3781190019193858</v>
      </c>
      <c r="S12" s="17">
        <f t="shared" si="2"/>
        <v>0.52399232245681382</v>
      </c>
      <c r="T12" s="17">
        <f t="shared" si="3"/>
        <v>6.3339731285988479E-2</v>
      </c>
      <c r="U12" s="17">
        <f t="shared" si="4"/>
        <v>1.7274472168905951E-2</v>
      </c>
      <c r="V12" s="20">
        <f t="shared" si="5"/>
        <v>9.8714285714285719</v>
      </c>
    </row>
    <row r="13" spans="1:22" x14ac:dyDescent="0.3">
      <c r="A13" t="s">
        <v>0</v>
      </c>
      <c r="B13">
        <v>647</v>
      </c>
      <c r="C13">
        <v>444</v>
      </c>
      <c r="D13">
        <v>68.599999999999994</v>
      </c>
      <c r="E13">
        <v>7.7</v>
      </c>
      <c r="F13">
        <v>4963</v>
      </c>
      <c r="G13">
        <v>40</v>
      </c>
      <c r="H13">
        <v>11</v>
      </c>
      <c r="I13">
        <v>104.8</v>
      </c>
      <c r="J13">
        <v>248</v>
      </c>
      <c r="K13">
        <v>38.299999999999997</v>
      </c>
      <c r="L13">
        <v>63</v>
      </c>
      <c r="M13">
        <v>9</v>
      </c>
      <c r="N13" t="s">
        <v>81</v>
      </c>
      <c r="O13">
        <v>33</v>
      </c>
      <c r="P13">
        <v>163</v>
      </c>
      <c r="Q13" s="17">
        <f t="shared" si="0"/>
        <v>1.7001545595054096E-2</v>
      </c>
      <c r="R13" s="17">
        <f t="shared" si="1"/>
        <v>0.31375579598145287</v>
      </c>
      <c r="S13" s="17">
        <f t="shared" si="2"/>
        <v>0.57496136012364762</v>
      </c>
      <c r="T13" s="17">
        <f t="shared" si="3"/>
        <v>8.3462132921174659E-2</v>
      </c>
      <c r="U13" s="17">
        <f t="shared" si="4"/>
        <v>1.3910355486862442E-2</v>
      </c>
      <c r="V13" s="20">
        <f t="shared" si="5"/>
        <v>10.126075268817203</v>
      </c>
    </row>
    <row r="14" spans="1:22" x14ac:dyDescent="0.3">
      <c r="A14" t="s">
        <v>21</v>
      </c>
      <c r="B14">
        <v>615</v>
      </c>
      <c r="C14">
        <v>404</v>
      </c>
      <c r="D14">
        <v>65.7</v>
      </c>
      <c r="E14">
        <v>6.4</v>
      </c>
      <c r="F14">
        <v>3936</v>
      </c>
      <c r="G14">
        <v>21</v>
      </c>
      <c r="H14">
        <v>14</v>
      </c>
      <c r="I14">
        <v>85.4</v>
      </c>
      <c r="J14">
        <v>206</v>
      </c>
      <c r="K14">
        <v>33.5</v>
      </c>
      <c r="L14">
        <v>45</v>
      </c>
      <c r="M14">
        <v>8</v>
      </c>
      <c r="N14" t="s">
        <v>85</v>
      </c>
      <c r="O14">
        <v>40</v>
      </c>
      <c r="P14">
        <v>285</v>
      </c>
      <c r="Q14" s="17">
        <f t="shared" si="0"/>
        <v>2.2764227642276424E-2</v>
      </c>
      <c r="R14" s="17">
        <f t="shared" si="1"/>
        <v>0.34308943089430893</v>
      </c>
      <c r="S14" s="17">
        <f t="shared" si="2"/>
        <v>0.57073170731707312</v>
      </c>
      <c r="T14" s="17">
        <f t="shared" si="3"/>
        <v>6.0162601626016263E-2</v>
      </c>
      <c r="U14" s="17">
        <f t="shared" si="4"/>
        <v>1.3008130081300813E-2</v>
      </c>
      <c r="V14" s="20">
        <f t="shared" si="5"/>
        <v>8.6068376068376082</v>
      </c>
    </row>
    <row r="15" spans="1:22" x14ac:dyDescent="0.3">
      <c r="A15" t="s">
        <v>11</v>
      </c>
      <c r="B15">
        <v>494</v>
      </c>
      <c r="C15">
        <v>307</v>
      </c>
      <c r="D15">
        <v>62.1</v>
      </c>
      <c r="E15">
        <v>7.3</v>
      </c>
      <c r="F15">
        <v>3585</v>
      </c>
      <c r="G15">
        <v>20</v>
      </c>
      <c r="H15">
        <v>10</v>
      </c>
      <c r="I15">
        <v>89.2</v>
      </c>
      <c r="J15">
        <v>167</v>
      </c>
      <c r="K15">
        <v>33.799999999999997</v>
      </c>
      <c r="L15">
        <v>51</v>
      </c>
      <c r="M15">
        <v>5</v>
      </c>
      <c r="N15">
        <v>91</v>
      </c>
      <c r="O15">
        <v>31</v>
      </c>
      <c r="P15">
        <v>181</v>
      </c>
      <c r="Q15" s="17">
        <f t="shared" si="0"/>
        <v>2.0242914979757085E-2</v>
      </c>
      <c r="R15" s="17">
        <f t="shared" si="1"/>
        <v>0.37854251012145751</v>
      </c>
      <c r="S15" s="17">
        <f t="shared" si="2"/>
        <v>0.5080971659919028</v>
      </c>
      <c r="T15" s="17">
        <f t="shared" si="3"/>
        <v>9.3117408906882596E-2</v>
      </c>
      <c r="U15" s="17">
        <f t="shared" si="4"/>
        <v>1.0121457489878543E-2</v>
      </c>
      <c r="V15" s="20">
        <f t="shared" si="5"/>
        <v>10.721912350597609</v>
      </c>
    </row>
    <row r="16" spans="1:22" x14ac:dyDescent="0.3">
      <c r="A16" t="s">
        <v>25</v>
      </c>
      <c r="B16">
        <v>573</v>
      </c>
      <c r="C16">
        <v>377</v>
      </c>
      <c r="D16">
        <v>65.8</v>
      </c>
      <c r="E16">
        <v>7</v>
      </c>
      <c r="F16">
        <v>3987</v>
      </c>
      <c r="G16">
        <v>20</v>
      </c>
      <c r="H16">
        <v>15</v>
      </c>
      <c r="I16">
        <v>86.6</v>
      </c>
      <c r="J16">
        <v>196</v>
      </c>
      <c r="K16">
        <v>34.200000000000003</v>
      </c>
      <c r="L16">
        <v>44</v>
      </c>
      <c r="M16">
        <v>7</v>
      </c>
      <c r="N16">
        <v>64</v>
      </c>
      <c r="O16">
        <v>40</v>
      </c>
      <c r="P16">
        <v>274</v>
      </c>
      <c r="Q16" s="17">
        <f t="shared" si="0"/>
        <v>2.6178010471204188E-2</v>
      </c>
      <c r="R16" s="17">
        <f t="shared" si="1"/>
        <v>0.34205933682373474</v>
      </c>
      <c r="S16" s="17">
        <f t="shared" si="2"/>
        <v>0.56893542757417104</v>
      </c>
      <c r="T16" s="17">
        <f t="shared" si="3"/>
        <v>6.4572425828970326E-2</v>
      </c>
      <c r="U16" s="17">
        <f t="shared" si="4"/>
        <v>1.2216404886561954E-2</v>
      </c>
      <c r="V16" s="20">
        <f t="shared" si="5"/>
        <v>9.6349693251533743</v>
      </c>
    </row>
    <row r="17" spans="1:22" x14ac:dyDescent="0.3">
      <c r="A17" t="s">
        <v>23</v>
      </c>
      <c r="B17">
        <v>550</v>
      </c>
      <c r="C17">
        <v>356</v>
      </c>
      <c r="D17">
        <v>64.7</v>
      </c>
      <c r="E17">
        <v>6.8</v>
      </c>
      <c r="F17">
        <v>3746</v>
      </c>
      <c r="G17">
        <v>21</v>
      </c>
      <c r="H17">
        <v>15</v>
      </c>
      <c r="I17">
        <v>85.8</v>
      </c>
      <c r="J17">
        <v>181</v>
      </c>
      <c r="K17">
        <v>32.9</v>
      </c>
      <c r="L17">
        <v>42</v>
      </c>
      <c r="M17">
        <v>7</v>
      </c>
      <c r="N17" t="s">
        <v>81</v>
      </c>
      <c r="O17">
        <v>43</v>
      </c>
      <c r="P17">
        <v>305</v>
      </c>
      <c r="Q17" s="17">
        <f t="shared" si="0"/>
        <v>2.7272727272727271E-2</v>
      </c>
      <c r="R17" s="17">
        <f t="shared" si="1"/>
        <v>0.35272727272727272</v>
      </c>
      <c r="S17" s="17">
        <f t="shared" si="2"/>
        <v>0.55818181818181822</v>
      </c>
      <c r="T17" s="17">
        <f t="shared" si="3"/>
        <v>6.363636363636363E-2</v>
      </c>
      <c r="U17" s="17">
        <f t="shared" si="4"/>
        <v>1.2727272727272728E-2</v>
      </c>
      <c r="V17" s="20">
        <f t="shared" si="5"/>
        <v>9.4462540716612367</v>
      </c>
    </row>
    <row r="18" spans="1:22" x14ac:dyDescent="0.3">
      <c r="A18" t="s">
        <v>9</v>
      </c>
      <c r="B18">
        <v>593</v>
      </c>
      <c r="C18">
        <v>351</v>
      </c>
      <c r="D18">
        <v>59.2</v>
      </c>
      <c r="E18">
        <v>5.8</v>
      </c>
      <c r="F18">
        <v>3463</v>
      </c>
      <c r="G18">
        <v>15</v>
      </c>
      <c r="H18">
        <v>20</v>
      </c>
      <c r="I18">
        <v>70.099999999999994</v>
      </c>
      <c r="J18">
        <v>171</v>
      </c>
      <c r="K18">
        <v>28.8</v>
      </c>
      <c r="L18">
        <v>31</v>
      </c>
      <c r="M18">
        <v>6</v>
      </c>
      <c r="N18">
        <v>60</v>
      </c>
      <c r="O18">
        <v>38</v>
      </c>
      <c r="P18">
        <v>267</v>
      </c>
      <c r="Q18" s="17">
        <f t="shared" si="0"/>
        <v>3.3726812816188868E-2</v>
      </c>
      <c r="R18" s="17">
        <f t="shared" si="1"/>
        <v>0.40809443507588533</v>
      </c>
      <c r="S18" s="17">
        <f t="shared" si="2"/>
        <v>0.5295109612141653</v>
      </c>
      <c r="T18" s="17">
        <f t="shared" si="3"/>
        <v>4.2158516020236091E-2</v>
      </c>
      <c r="U18" s="17">
        <f t="shared" si="4"/>
        <v>1.0118043844856661E-2</v>
      </c>
      <c r="V18" s="20">
        <f t="shared" si="5"/>
        <v>8.8993630573248392</v>
      </c>
    </row>
    <row r="19" spans="1:22" x14ac:dyDescent="0.3">
      <c r="A19" t="s">
        <v>31</v>
      </c>
      <c r="B19">
        <v>604</v>
      </c>
      <c r="C19">
        <v>361</v>
      </c>
      <c r="D19">
        <v>59.8</v>
      </c>
      <c r="E19">
        <v>6.1</v>
      </c>
      <c r="F19">
        <v>3674</v>
      </c>
      <c r="G19">
        <v>12</v>
      </c>
      <c r="H19">
        <v>17</v>
      </c>
      <c r="I19">
        <v>72.099999999999994</v>
      </c>
      <c r="J19">
        <v>178</v>
      </c>
      <c r="K19">
        <v>29.5</v>
      </c>
      <c r="L19">
        <v>44</v>
      </c>
      <c r="M19">
        <v>5</v>
      </c>
      <c r="N19">
        <v>58</v>
      </c>
      <c r="O19">
        <v>32</v>
      </c>
      <c r="P19">
        <v>238</v>
      </c>
      <c r="Q19" s="17">
        <f t="shared" si="0"/>
        <v>2.8145695364238412E-2</v>
      </c>
      <c r="R19" s="17">
        <f t="shared" si="1"/>
        <v>0.40231788079470199</v>
      </c>
      <c r="S19" s="17">
        <f t="shared" si="2"/>
        <v>0.51655629139072845</v>
      </c>
      <c r="T19" s="17">
        <f t="shared" si="3"/>
        <v>6.4569536423841056E-2</v>
      </c>
      <c r="U19" s="17">
        <f t="shared" si="4"/>
        <v>8.2781456953642391E-3</v>
      </c>
      <c r="V19" s="20">
        <f t="shared" si="5"/>
        <v>9.2128205128205121</v>
      </c>
    </row>
    <row r="20" spans="1:22" x14ac:dyDescent="0.3">
      <c r="A20" t="s">
        <v>27</v>
      </c>
      <c r="B20">
        <v>603</v>
      </c>
      <c r="C20">
        <v>357</v>
      </c>
      <c r="D20">
        <v>59.2</v>
      </c>
      <c r="E20">
        <v>6.6</v>
      </c>
      <c r="F20">
        <v>3959</v>
      </c>
      <c r="G20">
        <v>20</v>
      </c>
      <c r="H20">
        <v>20</v>
      </c>
      <c r="I20">
        <v>76</v>
      </c>
      <c r="J20">
        <v>195</v>
      </c>
      <c r="K20">
        <v>32.299999999999997</v>
      </c>
      <c r="L20">
        <v>52</v>
      </c>
      <c r="M20">
        <v>6</v>
      </c>
      <c r="N20" t="s">
        <v>73</v>
      </c>
      <c r="O20">
        <v>53</v>
      </c>
      <c r="P20">
        <v>418</v>
      </c>
      <c r="Q20" s="17">
        <f t="shared" si="0"/>
        <v>3.316749585406302E-2</v>
      </c>
      <c r="R20" s="17">
        <f t="shared" si="1"/>
        <v>0.4079601990049751</v>
      </c>
      <c r="S20" s="17">
        <f t="shared" si="2"/>
        <v>0.49585406301824214</v>
      </c>
      <c r="T20" s="17">
        <f t="shared" si="3"/>
        <v>7.6285240464344942E-2</v>
      </c>
      <c r="U20" s="17">
        <f t="shared" si="4"/>
        <v>9.9502487562189053E-3</v>
      </c>
      <c r="V20" s="20">
        <f t="shared" si="5"/>
        <v>10.099665551839465</v>
      </c>
    </row>
    <row r="21" spans="1:22" x14ac:dyDescent="0.3">
      <c r="A21" t="s">
        <v>30</v>
      </c>
      <c r="B21">
        <v>593</v>
      </c>
      <c r="C21">
        <v>396</v>
      </c>
      <c r="D21">
        <v>66.8</v>
      </c>
      <c r="E21">
        <v>6.5</v>
      </c>
      <c r="F21">
        <v>3884</v>
      </c>
      <c r="G21">
        <v>23</v>
      </c>
      <c r="H21">
        <v>14</v>
      </c>
      <c r="I21">
        <v>88.1</v>
      </c>
      <c r="J21">
        <v>193</v>
      </c>
      <c r="K21">
        <v>32.5</v>
      </c>
      <c r="L21">
        <v>49</v>
      </c>
      <c r="M21">
        <v>5</v>
      </c>
      <c r="N21" t="s">
        <v>75</v>
      </c>
      <c r="O21">
        <v>36</v>
      </c>
      <c r="P21">
        <v>286</v>
      </c>
      <c r="Q21" s="17">
        <f t="shared" si="0"/>
        <v>2.3608768971332208E-2</v>
      </c>
      <c r="R21" s="17">
        <f t="shared" si="1"/>
        <v>0.33220910623946037</v>
      </c>
      <c r="S21" s="17">
        <f t="shared" si="2"/>
        <v>0.57672849915682967</v>
      </c>
      <c r="T21" s="17">
        <f t="shared" si="3"/>
        <v>7.4198988195615517E-2</v>
      </c>
      <c r="U21" s="17">
        <f t="shared" si="4"/>
        <v>8.4317032040472171E-3</v>
      </c>
      <c r="V21" s="20">
        <f t="shared" si="5"/>
        <v>8.6827485380116958</v>
      </c>
    </row>
    <row r="22" spans="1:22" x14ac:dyDescent="0.3">
      <c r="A22" t="s">
        <v>24</v>
      </c>
      <c r="B22">
        <v>593</v>
      </c>
      <c r="C22">
        <v>402</v>
      </c>
      <c r="D22">
        <v>67.8</v>
      </c>
      <c r="E22">
        <v>7.6</v>
      </c>
      <c r="F22">
        <v>4526</v>
      </c>
      <c r="G22">
        <v>39</v>
      </c>
      <c r="H22">
        <v>7</v>
      </c>
      <c r="I22">
        <v>107.4</v>
      </c>
      <c r="J22">
        <v>235</v>
      </c>
      <c r="K22">
        <v>39.6</v>
      </c>
      <c r="L22">
        <v>61</v>
      </c>
      <c r="M22">
        <v>11</v>
      </c>
      <c r="N22" t="s">
        <v>75</v>
      </c>
      <c r="O22">
        <v>33</v>
      </c>
      <c r="P22">
        <v>211</v>
      </c>
      <c r="Q22" s="17">
        <f t="shared" si="0"/>
        <v>1.1804384485666104E-2</v>
      </c>
      <c r="R22" s="17">
        <f t="shared" si="1"/>
        <v>0.32209106239460372</v>
      </c>
      <c r="S22" s="17">
        <f t="shared" si="2"/>
        <v>0.55649241146711637</v>
      </c>
      <c r="T22" s="17">
        <f t="shared" si="3"/>
        <v>8.4317032040472181E-2</v>
      </c>
      <c r="U22" s="17">
        <f t="shared" si="4"/>
        <v>1.8549747048903879E-2</v>
      </c>
      <c r="V22" s="20">
        <f t="shared" si="5"/>
        <v>9.8842424242424229</v>
      </c>
    </row>
    <row r="23" spans="1:22" x14ac:dyDescent="0.3">
      <c r="A23" t="s">
        <v>28</v>
      </c>
      <c r="B23">
        <v>599</v>
      </c>
      <c r="C23">
        <v>348</v>
      </c>
      <c r="D23">
        <v>58.1</v>
      </c>
      <c r="E23">
        <v>6</v>
      </c>
      <c r="F23">
        <v>3573</v>
      </c>
      <c r="G23">
        <v>14</v>
      </c>
      <c r="H23">
        <v>21</v>
      </c>
      <c r="I23">
        <v>68.5</v>
      </c>
      <c r="J23">
        <v>174</v>
      </c>
      <c r="K23">
        <v>29</v>
      </c>
      <c r="L23">
        <v>36</v>
      </c>
      <c r="M23">
        <v>5</v>
      </c>
      <c r="N23">
        <v>64</v>
      </c>
      <c r="O23">
        <v>52</v>
      </c>
      <c r="P23">
        <v>334</v>
      </c>
      <c r="Q23" s="17">
        <f t="shared" si="0"/>
        <v>3.5058430717863104E-2</v>
      </c>
      <c r="R23" s="17">
        <f t="shared" si="1"/>
        <v>0.41903171953255425</v>
      </c>
      <c r="S23" s="17">
        <f t="shared" si="2"/>
        <v>0.51252086811352249</v>
      </c>
      <c r="T23" s="17">
        <f t="shared" si="3"/>
        <v>5.1752921535893157E-2</v>
      </c>
      <c r="U23" s="17">
        <f t="shared" si="4"/>
        <v>8.3472454090150246E-3</v>
      </c>
      <c r="V23" s="20">
        <f t="shared" si="5"/>
        <v>9.4592833876221505</v>
      </c>
    </row>
    <row r="24" spans="1:22" x14ac:dyDescent="0.3">
      <c r="A24" t="s">
        <v>5</v>
      </c>
      <c r="B24">
        <v>535</v>
      </c>
      <c r="C24">
        <v>364</v>
      </c>
      <c r="D24">
        <v>68</v>
      </c>
      <c r="E24">
        <v>7.7</v>
      </c>
      <c r="F24">
        <v>4098</v>
      </c>
      <c r="G24">
        <v>24</v>
      </c>
      <c r="H24">
        <v>13</v>
      </c>
      <c r="I24">
        <v>95.5</v>
      </c>
      <c r="J24">
        <v>187</v>
      </c>
      <c r="K24">
        <v>35</v>
      </c>
      <c r="L24">
        <v>60</v>
      </c>
      <c r="M24">
        <v>8</v>
      </c>
      <c r="N24" t="s">
        <v>75</v>
      </c>
      <c r="O24">
        <v>28</v>
      </c>
      <c r="P24">
        <v>241</v>
      </c>
      <c r="Q24" s="17">
        <f t="shared" si="0"/>
        <v>2.4299065420560748E-2</v>
      </c>
      <c r="R24" s="17">
        <f t="shared" si="1"/>
        <v>0.31962616822429907</v>
      </c>
      <c r="S24" s="17">
        <f t="shared" si="2"/>
        <v>0.55327102803738315</v>
      </c>
      <c r="T24" s="17">
        <f t="shared" si="3"/>
        <v>9.719626168224299E-2</v>
      </c>
      <c r="U24" s="17">
        <f t="shared" si="4"/>
        <v>1.4953271028037384E-2</v>
      </c>
      <c r="V24" s="20">
        <f t="shared" si="5"/>
        <v>10.065878378378379</v>
      </c>
    </row>
    <row r="25" spans="1:22" x14ac:dyDescent="0.3">
      <c r="A25" t="s">
        <v>17</v>
      </c>
      <c r="B25">
        <v>628</v>
      </c>
      <c r="C25">
        <v>429</v>
      </c>
      <c r="D25">
        <v>68.3</v>
      </c>
      <c r="E25">
        <v>7.7</v>
      </c>
      <c r="F25">
        <v>4808</v>
      </c>
      <c r="G25">
        <v>23</v>
      </c>
      <c r="H25">
        <v>14</v>
      </c>
      <c r="I25">
        <v>93.8</v>
      </c>
      <c r="J25">
        <v>217</v>
      </c>
      <c r="K25">
        <v>34.6</v>
      </c>
      <c r="L25">
        <v>67</v>
      </c>
      <c r="M25">
        <v>10</v>
      </c>
      <c r="N25" t="s">
        <v>83</v>
      </c>
      <c r="O25">
        <v>40</v>
      </c>
      <c r="P25">
        <v>241</v>
      </c>
      <c r="Q25" s="17">
        <f t="shared" si="0"/>
        <v>2.2292993630573247E-2</v>
      </c>
      <c r="R25" s="17">
        <f t="shared" si="1"/>
        <v>0.31687898089171973</v>
      </c>
      <c r="S25" s="17">
        <f t="shared" si="2"/>
        <v>0.56050955414012738</v>
      </c>
      <c r="T25" s="17">
        <f t="shared" si="3"/>
        <v>9.0764331210191077E-2</v>
      </c>
      <c r="U25" s="17">
        <f t="shared" si="4"/>
        <v>1.5923566878980892E-2</v>
      </c>
      <c r="V25" s="20">
        <f t="shared" si="5"/>
        <v>10.030113636363637</v>
      </c>
    </row>
    <row r="26" spans="1:22" x14ac:dyDescent="0.3">
      <c r="A26" t="s">
        <v>7</v>
      </c>
      <c r="B26">
        <v>607</v>
      </c>
      <c r="C26">
        <v>406</v>
      </c>
      <c r="D26">
        <v>66.900000000000006</v>
      </c>
      <c r="E26">
        <v>8.1</v>
      </c>
      <c r="F26">
        <v>4893</v>
      </c>
      <c r="G26">
        <v>41</v>
      </c>
      <c r="H26">
        <v>18</v>
      </c>
      <c r="I26">
        <v>101.6</v>
      </c>
      <c r="J26">
        <v>233</v>
      </c>
      <c r="K26">
        <v>38.4</v>
      </c>
      <c r="L26">
        <v>65</v>
      </c>
      <c r="M26">
        <v>18</v>
      </c>
      <c r="N26" t="s">
        <v>89</v>
      </c>
      <c r="O26">
        <v>31</v>
      </c>
      <c r="P26">
        <v>251</v>
      </c>
      <c r="Q26" s="17">
        <f t="shared" si="0"/>
        <v>2.9654036243822075E-2</v>
      </c>
      <c r="R26" s="17">
        <f t="shared" si="1"/>
        <v>0.33113673805601318</v>
      </c>
      <c r="S26" s="17">
        <f t="shared" si="2"/>
        <v>0.53212520593080725</v>
      </c>
      <c r="T26" s="17">
        <f t="shared" si="3"/>
        <v>7.7429983525535415E-2</v>
      </c>
      <c r="U26" s="17">
        <f t="shared" si="4"/>
        <v>2.9654036243822075E-2</v>
      </c>
      <c r="V26" s="20">
        <f t="shared" si="5"/>
        <v>10.53157894736842</v>
      </c>
    </row>
    <row r="27" spans="1:22" x14ac:dyDescent="0.3">
      <c r="A27" t="s">
        <v>16</v>
      </c>
      <c r="B27">
        <v>611</v>
      </c>
      <c r="C27">
        <v>396</v>
      </c>
      <c r="D27">
        <v>64.8</v>
      </c>
      <c r="E27">
        <v>7</v>
      </c>
      <c r="F27">
        <v>4267</v>
      </c>
      <c r="G27">
        <v>21</v>
      </c>
      <c r="H27">
        <v>18</v>
      </c>
      <c r="I27">
        <v>84.4</v>
      </c>
      <c r="J27">
        <v>209</v>
      </c>
      <c r="K27">
        <v>34.200000000000003</v>
      </c>
      <c r="L27">
        <v>54</v>
      </c>
      <c r="M27">
        <v>6</v>
      </c>
      <c r="N27" t="s">
        <v>87</v>
      </c>
      <c r="O27">
        <v>57</v>
      </c>
      <c r="P27">
        <v>306</v>
      </c>
      <c r="Q27" s="17">
        <f t="shared" si="0"/>
        <v>2.9459901800327332E-2</v>
      </c>
      <c r="R27" s="17">
        <f t="shared" si="1"/>
        <v>0.35188216039279868</v>
      </c>
      <c r="S27" s="17">
        <f t="shared" si="2"/>
        <v>0.54991816693944351</v>
      </c>
      <c r="T27" s="17">
        <f t="shared" si="3"/>
        <v>7.855973813420622E-2</v>
      </c>
      <c r="U27" s="17">
        <f t="shared" si="4"/>
        <v>9.8199672667757774E-3</v>
      </c>
      <c r="V27" s="20">
        <f t="shared" si="5"/>
        <v>9.7827380952380949</v>
      </c>
    </row>
    <row r="28" spans="1:22" x14ac:dyDescent="0.3">
      <c r="A28" t="s">
        <v>18</v>
      </c>
      <c r="B28">
        <v>504</v>
      </c>
      <c r="C28">
        <v>293</v>
      </c>
      <c r="D28">
        <v>58.1</v>
      </c>
      <c r="E28">
        <v>6.8</v>
      </c>
      <c r="F28">
        <v>3437</v>
      </c>
      <c r="G28">
        <v>29</v>
      </c>
      <c r="H28">
        <v>13</v>
      </c>
      <c r="I28">
        <v>87.4</v>
      </c>
      <c r="J28">
        <v>165</v>
      </c>
      <c r="K28">
        <v>32.700000000000003</v>
      </c>
      <c r="L28">
        <v>41</v>
      </c>
      <c r="M28">
        <v>8</v>
      </c>
      <c r="N28" t="s">
        <v>77</v>
      </c>
      <c r="O28">
        <v>37</v>
      </c>
      <c r="P28">
        <v>251</v>
      </c>
      <c r="Q28" s="17">
        <f t="shared" si="0"/>
        <v>2.5793650793650792E-2</v>
      </c>
      <c r="R28" s="17">
        <f t="shared" si="1"/>
        <v>0.41865079365079366</v>
      </c>
      <c r="S28" s="17">
        <f t="shared" si="2"/>
        <v>0.48412698412698413</v>
      </c>
      <c r="T28" s="17">
        <f t="shared" si="3"/>
        <v>6.5476190476190479E-2</v>
      </c>
      <c r="U28" s="17">
        <f t="shared" si="4"/>
        <v>1.5873015873015872E-2</v>
      </c>
      <c r="V28" s="20">
        <f t="shared" si="5"/>
        <v>10.541803278688525</v>
      </c>
    </row>
    <row r="29" spans="1:22" x14ac:dyDescent="0.3">
      <c r="A29" t="s">
        <v>15</v>
      </c>
      <c r="B29">
        <v>495</v>
      </c>
      <c r="C29">
        <v>324</v>
      </c>
      <c r="D29">
        <v>65.5</v>
      </c>
      <c r="E29">
        <v>7.7</v>
      </c>
      <c r="F29">
        <v>3815</v>
      </c>
      <c r="G29">
        <v>30</v>
      </c>
      <c r="H29">
        <v>7</v>
      </c>
      <c r="I29">
        <v>103.1</v>
      </c>
      <c r="J29">
        <v>166</v>
      </c>
      <c r="K29">
        <v>33.5</v>
      </c>
      <c r="L29">
        <v>56</v>
      </c>
      <c r="M29">
        <v>12</v>
      </c>
      <c r="N29" t="s">
        <v>118</v>
      </c>
      <c r="O29">
        <v>46</v>
      </c>
      <c r="P29">
        <v>383</v>
      </c>
      <c r="Q29" s="17">
        <f t="shared" si="0"/>
        <v>1.4141414141414142E-2</v>
      </c>
      <c r="R29" s="17">
        <f t="shared" si="1"/>
        <v>0.34545454545454546</v>
      </c>
      <c r="S29" s="17">
        <f t="shared" si="2"/>
        <v>0.51717171717171717</v>
      </c>
      <c r="T29" s="17">
        <f t="shared" si="3"/>
        <v>8.8888888888888892E-2</v>
      </c>
      <c r="U29" s="17">
        <f t="shared" si="4"/>
        <v>2.4242424242424242E-2</v>
      </c>
      <c r="V29" s="20">
        <f t="shared" si="5"/>
        <v>10.201171875</v>
      </c>
    </row>
    <row r="30" spans="1:22" x14ac:dyDescent="0.3">
      <c r="A30" t="s">
        <v>20</v>
      </c>
      <c r="B30">
        <v>664</v>
      </c>
      <c r="C30">
        <v>425</v>
      </c>
      <c r="D30">
        <v>64</v>
      </c>
      <c r="E30">
        <v>6</v>
      </c>
      <c r="F30">
        <v>4017</v>
      </c>
      <c r="G30">
        <v>23</v>
      </c>
      <c r="H30">
        <v>11</v>
      </c>
      <c r="I30">
        <v>85.3</v>
      </c>
      <c r="J30">
        <v>204</v>
      </c>
      <c r="K30">
        <v>30.7</v>
      </c>
      <c r="L30">
        <v>41</v>
      </c>
      <c r="M30">
        <v>9</v>
      </c>
      <c r="N30">
        <v>59</v>
      </c>
      <c r="O30">
        <v>38</v>
      </c>
      <c r="P30">
        <v>239</v>
      </c>
      <c r="Q30" s="17">
        <f t="shared" si="0"/>
        <v>1.6566265060240965E-2</v>
      </c>
      <c r="R30" s="17">
        <f t="shared" si="1"/>
        <v>0.35993975903614456</v>
      </c>
      <c r="S30" s="17">
        <f t="shared" si="2"/>
        <v>0.56475903614457834</v>
      </c>
      <c r="T30" s="17">
        <f t="shared" si="3"/>
        <v>4.8192771084337352E-2</v>
      </c>
      <c r="U30" s="17">
        <f t="shared" si="4"/>
        <v>1.355421686746988E-2</v>
      </c>
      <c r="V30" s="20">
        <f t="shared" si="5"/>
        <v>8.2639999999999993</v>
      </c>
    </row>
    <row r="31" spans="1:22" x14ac:dyDescent="0.3">
      <c r="A31" t="s">
        <v>29</v>
      </c>
      <c r="B31">
        <v>546</v>
      </c>
      <c r="C31">
        <v>354</v>
      </c>
      <c r="D31">
        <v>64.8</v>
      </c>
      <c r="E31">
        <v>6.6</v>
      </c>
      <c r="F31">
        <v>3630</v>
      </c>
      <c r="G31">
        <v>21</v>
      </c>
      <c r="H31">
        <v>15</v>
      </c>
      <c r="I31">
        <v>85.2</v>
      </c>
      <c r="J31">
        <v>162</v>
      </c>
      <c r="K31">
        <v>29.7</v>
      </c>
      <c r="L31">
        <v>44</v>
      </c>
      <c r="M31">
        <v>8</v>
      </c>
      <c r="N31" t="s">
        <v>105</v>
      </c>
      <c r="O31">
        <v>44</v>
      </c>
      <c r="P31">
        <v>325</v>
      </c>
      <c r="Q31" s="17">
        <f t="shared" si="0"/>
        <v>2.7472527472527472E-2</v>
      </c>
      <c r="R31" s="17">
        <f t="shared" si="1"/>
        <v>0.35164835164835168</v>
      </c>
      <c r="S31" s="17">
        <f t="shared" si="2"/>
        <v>0.55311355311355315</v>
      </c>
      <c r="T31" s="17">
        <f t="shared" si="3"/>
        <v>6.5934065934065936E-2</v>
      </c>
      <c r="U31" s="17">
        <f t="shared" si="4"/>
        <v>1.4652014652014652E-2</v>
      </c>
      <c r="V31" s="20">
        <f t="shared" si="5"/>
        <v>8.9523178807947019</v>
      </c>
    </row>
    <row r="32" spans="1:22" x14ac:dyDescent="0.3">
      <c r="A32" t="s">
        <v>14</v>
      </c>
      <c r="B32">
        <v>535</v>
      </c>
      <c r="C32">
        <v>359</v>
      </c>
      <c r="D32">
        <v>67.099999999999994</v>
      </c>
      <c r="E32">
        <v>7</v>
      </c>
      <c r="F32">
        <v>3745</v>
      </c>
      <c r="G32">
        <v>22</v>
      </c>
      <c r="H32">
        <v>14</v>
      </c>
      <c r="I32">
        <v>90</v>
      </c>
      <c r="J32">
        <v>194</v>
      </c>
      <c r="K32">
        <v>36.299999999999997</v>
      </c>
      <c r="L32">
        <v>35</v>
      </c>
      <c r="M32">
        <v>7</v>
      </c>
      <c r="N32" t="s">
        <v>110</v>
      </c>
      <c r="O32">
        <v>47</v>
      </c>
      <c r="P32">
        <v>327</v>
      </c>
      <c r="Q32" s="17">
        <f t="shared" si="0"/>
        <v>2.6168224299065422E-2</v>
      </c>
      <c r="R32" s="17">
        <f t="shared" si="1"/>
        <v>0.32897196261682243</v>
      </c>
      <c r="S32" s="17">
        <f t="shared" si="2"/>
        <v>0.59252336448598131</v>
      </c>
      <c r="T32" s="17">
        <f t="shared" si="3"/>
        <v>5.2336448598130844E-2</v>
      </c>
      <c r="U32" s="17">
        <f t="shared" si="4"/>
        <v>1.3084112149532711E-2</v>
      </c>
      <c r="V32" s="20">
        <f t="shared" si="5"/>
        <v>9.4952681388012614</v>
      </c>
    </row>
    <row r="33" spans="1:22" x14ac:dyDescent="0.3">
      <c r="A33" t="s">
        <v>13</v>
      </c>
      <c r="B33">
        <v>604</v>
      </c>
      <c r="C33">
        <v>398</v>
      </c>
      <c r="D33">
        <v>65.900000000000006</v>
      </c>
      <c r="E33">
        <v>7.4</v>
      </c>
      <c r="F33">
        <v>4450</v>
      </c>
      <c r="G33">
        <v>34</v>
      </c>
      <c r="H33">
        <v>7</v>
      </c>
      <c r="I33">
        <v>101.6</v>
      </c>
      <c r="J33">
        <v>202</v>
      </c>
      <c r="K33">
        <v>33.4</v>
      </c>
      <c r="L33">
        <v>63</v>
      </c>
      <c r="M33">
        <v>10</v>
      </c>
      <c r="N33" t="s">
        <v>91</v>
      </c>
      <c r="O33">
        <v>30</v>
      </c>
      <c r="P33">
        <v>212</v>
      </c>
      <c r="Q33" s="17">
        <f t="shared" si="0"/>
        <v>1.1589403973509934E-2</v>
      </c>
      <c r="R33" s="17">
        <f t="shared" si="1"/>
        <v>0.34105960264900664</v>
      </c>
      <c r="S33" s="17">
        <f t="shared" si="2"/>
        <v>0.53807947019867552</v>
      </c>
      <c r="T33" s="17">
        <f t="shared" si="3"/>
        <v>8.7748344370860931E-2</v>
      </c>
      <c r="U33" s="17">
        <f t="shared" si="4"/>
        <v>1.6556291390728478E-2</v>
      </c>
      <c r="V33" s="20">
        <f t="shared" si="5"/>
        <v>9.921846153846154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E4718-0A93-4AA6-AAF1-808CDDE00D59}">
  <sheetPr codeName="Sheet5"/>
  <dimension ref="A1:Q33"/>
  <sheetViews>
    <sheetView workbookViewId="0">
      <selection activeCell="D2" sqref="D2"/>
    </sheetView>
  </sheetViews>
  <sheetFormatPr defaultRowHeight="14.4" x14ac:dyDescent="0.3"/>
  <sheetData>
    <row r="1" spans="1:17" x14ac:dyDescent="0.3">
      <c r="A1" t="s">
        <v>53</v>
      </c>
      <c r="B1" t="s">
        <v>53</v>
      </c>
      <c r="C1" t="s">
        <v>43</v>
      </c>
      <c r="D1" t="s">
        <v>120</v>
      </c>
      <c r="E1" t="s">
        <v>121</v>
      </c>
      <c r="F1" t="s">
        <v>44</v>
      </c>
      <c r="G1" t="s">
        <v>67</v>
      </c>
      <c r="H1" t="s">
        <v>68</v>
      </c>
      <c r="I1" t="s">
        <v>69</v>
      </c>
      <c r="J1" t="s">
        <v>122</v>
      </c>
      <c r="K1" t="s">
        <v>123</v>
      </c>
      <c r="L1" t="s">
        <v>124</v>
      </c>
      <c r="M1" t="s">
        <v>200</v>
      </c>
      <c r="N1" t="s">
        <v>196</v>
      </c>
      <c r="O1" t="s">
        <v>197</v>
      </c>
      <c r="P1" t="s">
        <v>198</v>
      </c>
      <c r="Q1" t="s">
        <v>213</v>
      </c>
    </row>
    <row r="2" spans="1:17" x14ac:dyDescent="0.3">
      <c r="A2" t="s">
        <v>12</v>
      </c>
      <c r="B2" t="s">
        <v>115</v>
      </c>
      <c r="C2">
        <v>499</v>
      </c>
      <c r="D2">
        <v>2166</v>
      </c>
      <c r="E2">
        <v>4.3</v>
      </c>
      <c r="F2">
        <v>22</v>
      </c>
      <c r="G2">
        <v>12</v>
      </c>
      <c r="H2">
        <v>1</v>
      </c>
      <c r="I2">
        <v>49</v>
      </c>
      <c r="J2">
        <v>130</v>
      </c>
      <c r="K2">
        <v>26.1</v>
      </c>
      <c r="L2">
        <v>5</v>
      </c>
      <c r="M2" s="17">
        <f>L2/C2</f>
        <v>1.002004008016032E-2</v>
      </c>
      <c r="N2" s="17">
        <f>(C2-G2-H2)/C2</f>
        <v>0.97394789579158314</v>
      </c>
      <c r="O2" s="17">
        <f>G2/C2</f>
        <v>2.4048096192384769E-2</v>
      </c>
      <c r="P2" s="17">
        <f>H2/C2</f>
        <v>2.004008016032064E-3</v>
      </c>
      <c r="Q2" s="20">
        <f>(E2-O2*30-P2*45)/N2</f>
        <v>3.5816872427983539</v>
      </c>
    </row>
    <row r="3" spans="1:17" x14ac:dyDescent="0.3">
      <c r="A3" t="s">
        <v>26</v>
      </c>
      <c r="B3" t="s">
        <v>106</v>
      </c>
      <c r="C3">
        <v>475</v>
      </c>
      <c r="D3">
        <v>2018</v>
      </c>
      <c r="E3">
        <v>4.2</v>
      </c>
      <c r="F3">
        <v>14</v>
      </c>
      <c r="G3">
        <v>13</v>
      </c>
      <c r="H3">
        <v>1</v>
      </c>
      <c r="I3">
        <v>41</v>
      </c>
      <c r="J3">
        <v>119</v>
      </c>
      <c r="K3">
        <v>25.1</v>
      </c>
      <c r="L3">
        <v>5</v>
      </c>
      <c r="M3" s="17">
        <f t="shared" ref="M3:M33" si="0">L3/C3</f>
        <v>1.0526315789473684E-2</v>
      </c>
      <c r="N3" s="17">
        <f t="shared" ref="N3:N33" si="1">(C3-G3-H3)/C3</f>
        <v>0.97052631578947368</v>
      </c>
      <c r="O3" s="17">
        <f t="shared" ref="O3:O33" si="2">G3/C3</f>
        <v>2.736842105263158E-2</v>
      </c>
      <c r="P3" s="17">
        <f t="shared" ref="P3:P33" si="3">H3/C3</f>
        <v>2.1052631578947368E-3</v>
      </c>
      <c r="Q3" s="20">
        <f t="shared" ref="Q3:Q33" si="4">(E3-O3*30-P3*45)/N3</f>
        <v>3.3839479392624732</v>
      </c>
    </row>
    <row r="4" spans="1:17" x14ac:dyDescent="0.3">
      <c r="A4" t="s">
        <v>6</v>
      </c>
      <c r="B4" t="s">
        <v>101</v>
      </c>
      <c r="C4">
        <v>436</v>
      </c>
      <c r="D4">
        <v>1742</v>
      </c>
      <c r="E4">
        <v>4</v>
      </c>
      <c r="F4">
        <v>16</v>
      </c>
      <c r="G4">
        <v>8</v>
      </c>
      <c r="H4">
        <v>1</v>
      </c>
      <c r="I4" t="s">
        <v>125</v>
      </c>
      <c r="J4">
        <v>96</v>
      </c>
      <c r="K4">
        <v>22</v>
      </c>
      <c r="L4">
        <v>2</v>
      </c>
      <c r="M4" s="17">
        <f t="shared" si="0"/>
        <v>4.5871559633027525E-3</v>
      </c>
      <c r="N4" s="17">
        <f t="shared" si="1"/>
        <v>0.97935779816513757</v>
      </c>
      <c r="O4" s="17">
        <f t="shared" si="2"/>
        <v>1.834862385321101E-2</v>
      </c>
      <c r="P4" s="17">
        <f t="shared" si="3"/>
        <v>2.2935779816513763E-3</v>
      </c>
      <c r="Q4" s="20">
        <f t="shared" si="4"/>
        <v>3.4168618266978923</v>
      </c>
    </row>
    <row r="5" spans="1:17" x14ac:dyDescent="0.3">
      <c r="A5" t="s">
        <v>2</v>
      </c>
      <c r="B5" t="s">
        <v>79</v>
      </c>
      <c r="C5">
        <v>461</v>
      </c>
      <c r="D5">
        <v>2209</v>
      </c>
      <c r="E5">
        <v>4.8</v>
      </c>
      <c r="F5">
        <v>20</v>
      </c>
      <c r="G5">
        <v>18</v>
      </c>
      <c r="H5">
        <v>2</v>
      </c>
      <c r="I5" t="s">
        <v>125</v>
      </c>
      <c r="J5">
        <v>134</v>
      </c>
      <c r="K5">
        <v>29.1</v>
      </c>
      <c r="L5">
        <v>8</v>
      </c>
      <c r="M5" s="17">
        <f t="shared" si="0"/>
        <v>1.735357917570499E-2</v>
      </c>
      <c r="N5" s="17">
        <f t="shared" si="1"/>
        <v>0.95661605206073752</v>
      </c>
      <c r="O5" s="17">
        <f t="shared" si="2"/>
        <v>3.9045553145336226E-2</v>
      </c>
      <c r="P5" s="17">
        <f t="shared" si="3"/>
        <v>4.3383947939262474E-3</v>
      </c>
      <c r="Q5" s="20">
        <f t="shared" si="4"/>
        <v>3.5891156462585032</v>
      </c>
    </row>
    <row r="6" spans="1:17" x14ac:dyDescent="0.3">
      <c r="A6" t="s">
        <v>22</v>
      </c>
      <c r="B6" t="s">
        <v>107</v>
      </c>
      <c r="C6">
        <v>455</v>
      </c>
      <c r="D6">
        <v>2025</v>
      </c>
      <c r="E6">
        <v>4.5</v>
      </c>
      <c r="F6">
        <v>16</v>
      </c>
      <c r="G6">
        <v>10</v>
      </c>
      <c r="H6">
        <v>3</v>
      </c>
      <c r="I6" t="s">
        <v>126</v>
      </c>
      <c r="J6">
        <v>124</v>
      </c>
      <c r="K6">
        <v>27.3</v>
      </c>
      <c r="L6">
        <v>7</v>
      </c>
      <c r="M6" s="17">
        <f t="shared" si="0"/>
        <v>1.5384615384615385E-2</v>
      </c>
      <c r="N6" s="17">
        <f t="shared" si="1"/>
        <v>0.97142857142857142</v>
      </c>
      <c r="O6" s="17">
        <f t="shared" si="2"/>
        <v>2.197802197802198E-2</v>
      </c>
      <c r="P6" s="17">
        <f t="shared" si="3"/>
        <v>6.5934065934065934E-3</v>
      </c>
      <c r="Q6" s="20">
        <f t="shared" si="4"/>
        <v>3.6481900452488687</v>
      </c>
    </row>
    <row r="7" spans="1:17" x14ac:dyDescent="0.3">
      <c r="A7" t="s">
        <v>19</v>
      </c>
      <c r="B7" t="s">
        <v>113</v>
      </c>
      <c r="C7">
        <v>485</v>
      </c>
      <c r="D7">
        <v>2471</v>
      </c>
      <c r="E7">
        <v>5.0999999999999996</v>
      </c>
      <c r="F7">
        <v>20</v>
      </c>
      <c r="G7">
        <v>18</v>
      </c>
      <c r="H7">
        <v>2</v>
      </c>
      <c r="I7" t="s">
        <v>126</v>
      </c>
      <c r="J7">
        <v>138</v>
      </c>
      <c r="K7">
        <v>28.5</v>
      </c>
      <c r="L7">
        <v>5</v>
      </c>
      <c r="M7" s="17">
        <f t="shared" si="0"/>
        <v>1.0309278350515464E-2</v>
      </c>
      <c r="N7" s="17">
        <f t="shared" si="1"/>
        <v>0.95876288659793818</v>
      </c>
      <c r="O7" s="17">
        <f t="shared" si="2"/>
        <v>3.711340206185567E-2</v>
      </c>
      <c r="P7" s="17">
        <f t="shared" si="3"/>
        <v>4.1237113402061857E-3</v>
      </c>
      <c r="Q7" s="20">
        <f t="shared" si="4"/>
        <v>3.9645161290322579</v>
      </c>
    </row>
    <row r="8" spans="1:17" x14ac:dyDescent="0.3">
      <c r="A8" t="s">
        <v>1</v>
      </c>
      <c r="B8" t="s">
        <v>72</v>
      </c>
      <c r="C8">
        <v>385</v>
      </c>
      <c r="D8">
        <v>1672</v>
      </c>
      <c r="E8">
        <v>4.3</v>
      </c>
      <c r="F8">
        <v>18</v>
      </c>
      <c r="G8">
        <v>9</v>
      </c>
      <c r="H8">
        <v>2</v>
      </c>
      <c r="I8" t="s">
        <v>127</v>
      </c>
      <c r="J8">
        <v>106</v>
      </c>
      <c r="K8">
        <v>27.5</v>
      </c>
      <c r="L8">
        <v>3</v>
      </c>
      <c r="M8" s="17">
        <f t="shared" si="0"/>
        <v>7.7922077922077922E-3</v>
      </c>
      <c r="N8" s="17">
        <f t="shared" si="1"/>
        <v>0.97142857142857142</v>
      </c>
      <c r="O8" s="17">
        <f t="shared" si="2"/>
        <v>2.3376623376623377E-2</v>
      </c>
      <c r="P8" s="17">
        <f t="shared" si="3"/>
        <v>5.1948051948051948E-3</v>
      </c>
      <c r="Q8" s="20">
        <f t="shared" si="4"/>
        <v>3.463903743315508</v>
      </c>
    </row>
    <row r="9" spans="1:17" x14ac:dyDescent="0.3">
      <c r="A9" t="s">
        <v>10</v>
      </c>
      <c r="B9" t="s">
        <v>98</v>
      </c>
      <c r="C9">
        <v>496</v>
      </c>
      <c r="D9">
        <v>2076</v>
      </c>
      <c r="E9">
        <v>4.2</v>
      </c>
      <c r="F9">
        <v>23</v>
      </c>
      <c r="G9">
        <v>10</v>
      </c>
      <c r="H9">
        <v>3</v>
      </c>
      <c r="I9">
        <v>57</v>
      </c>
      <c r="J9">
        <v>127</v>
      </c>
      <c r="K9">
        <v>25.6</v>
      </c>
      <c r="L9">
        <v>16</v>
      </c>
      <c r="M9" s="17">
        <f t="shared" si="0"/>
        <v>3.2258064516129031E-2</v>
      </c>
      <c r="N9" s="17">
        <f t="shared" si="1"/>
        <v>0.97379032258064513</v>
      </c>
      <c r="O9" s="17">
        <f t="shared" si="2"/>
        <v>2.0161290322580645E-2</v>
      </c>
      <c r="P9" s="17">
        <f t="shared" si="3"/>
        <v>6.0483870967741934E-3</v>
      </c>
      <c r="Q9" s="20">
        <f t="shared" si="4"/>
        <v>3.4124223602484474</v>
      </c>
    </row>
    <row r="10" spans="1:17" x14ac:dyDescent="0.3">
      <c r="A10" t="s">
        <v>4</v>
      </c>
      <c r="B10" t="s">
        <v>76</v>
      </c>
      <c r="C10">
        <v>423</v>
      </c>
      <c r="D10">
        <v>1834</v>
      </c>
      <c r="E10">
        <v>4.3</v>
      </c>
      <c r="F10">
        <v>18</v>
      </c>
      <c r="G10">
        <v>7</v>
      </c>
      <c r="H10">
        <v>1</v>
      </c>
      <c r="I10">
        <v>75</v>
      </c>
      <c r="J10">
        <v>112</v>
      </c>
      <c r="K10">
        <v>26.5</v>
      </c>
      <c r="L10">
        <v>3</v>
      </c>
      <c r="M10" s="17">
        <f t="shared" si="0"/>
        <v>7.0921985815602835E-3</v>
      </c>
      <c r="N10" s="17">
        <f t="shared" si="1"/>
        <v>0.98108747044917255</v>
      </c>
      <c r="O10" s="17">
        <f t="shared" si="2"/>
        <v>1.6548463356973995E-2</v>
      </c>
      <c r="P10" s="17">
        <f t="shared" si="3"/>
        <v>2.3640661938534278E-3</v>
      </c>
      <c r="Q10" s="20">
        <f t="shared" si="4"/>
        <v>3.7684337349397592</v>
      </c>
    </row>
    <row r="11" spans="1:17" x14ac:dyDescent="0.3">
      <c r="A11" t="s">
        <v>3</v>
      </c>
      <c r="B11" t="s">
        <v>74</v>
      </c>
      <c r="C11">
        <v>431</v>
      </c>
      <c r="D11">
        <v>1955</v>
      </c>
      <c r="E11">
        <v>4.5</v>
      </c>
      <c r="F11">
        <v>16</v>
      </c>
      <c r="G11">
        <v>9</v>
      </c>
      <c r="H11">
        <v>1</v>
      </c>
      <c r="I11" t="s">
        <v>128</v>
      </c>
      <c r="J11">
        <v>119</v>
      </c>
      <c r="K11">
        <v>27.6</v>
      </c>
      <c r="L11">
        <v>8</v>
      </c>
      <c r="M11" s="17">
        <f t="shared" si="0"/>
        <v>1.8561484918793503E-2</v>
      </c>
      <c r="N11" s="17">
        <f t="shared" si="1"/>
        <v>0.97679814385150809</v>
      </c>
      <c r="O11" s="17">
        <f t="shared" si="2"/>
        <v>2.0881670533642691E-2</v>
      </c>
      <c r="P11" s="17">
        <f t="shared" si="3"/>
        <v>2.3201856148491878E-3</v>
      </c>
      <c r="Q11" s="20">
        <f t="shared" si="4"/>
        <v>3.8586698337292162</v>
      </c>
    </row>
    <row r="12" spans="1:17" x14ac:dyDescent="0.3">
      <c r="A12" t="s">
        <v>8</v>
      </c>
      <c r="B12" t="s">
        <v>111</v>
      </c>
      <c r="C12">
        <v>499</v>
      </c>
      <c r="D12">
        <v>2540</v>
      </c>
      <c r="E12">
        <v>5.0999999999999996</v>
      </c>
      <c r="F12">
        <v>22</v>
      </c>
      <c r="G12">
        <v>19</v>
      </c>
      <c r="H12">
        <v>5</v>
      </c>
      <c r="I12">
        <v>83</v>
      </c>
      <c r="J12">
        <v>154</v>
      </c>
      <c r="K12">
        <v>30.9</v>
      </c>
      <c r="L12">
        <v>7</v>
      </c>
      <c r="M12" s="17">
        <f t="shared" si="0"/>
        <v>1.4028056112224449E-2</v>
      </c>
      <c r="N12" s="17">
        <f t="shared" si="1"/>
        <v>0.95190380761523041</v>
      </c>
      <c r="O12" s="17">
        <f t="shared" si="2"/>
        <v>3.8076152304609222E-2</v>
      </c>
      <c r="P12" s="17">
        <f t="shared" si="3"/>
        <v>1.002004008016032E-2</v>
      </c>
      <c r="Q12" s="20">
        <f t="shared" si="4"/>
        <v>3.6839999999999997</v>
      </c>
    </row>
    <row r="13" spans="1:17" x14ac:dyDescent="0.3">
      <c r="A13" t="s">
        <v>0</v>
      </c>
      <c r="B13" t="s">
        <v>80</v>
      </c>
      <c r="C13">
        <v>473</v>
      </c>
      <c r="D13">
        <v>2119</v>
      </c>
      <c r="E13">
        <v>4.5</v>
      </c>
      <c r="F13">
        <v>15</v>
      </c>
      <c r="G13">
        <v>11</v>
      </c>
      <c r="H13">
        <v>2</v>
      </c>
      <c r="I13" t="s">
        <v>129</v>
      </c>
      <c r="J13">
        <v>111</v>
      </c>
      <c r="K13">
        <v>23.5</v>
      </c>
      <c r="L13">
        <v>8</v>
      </c>
      <c r="M13" s="17">
        <f t="shared" si="0"/>
        <v>1.6913319238900635E-2</v>
      </c>
      <c r="N13" s="17">
        <f t="shared" si="1"/>
        <v>0.97251585623678649</v>
      </c>
      <c r="O13" s="17">
        <f t="shared" si="2"/>
        <v>2.3255813953488372E-2</v>
      </c>
      <c r="P13" s="17">
        <f t="shared" si="3"/>
        <v>4.2283298097251587E-3</v>
      </c>
      <c r="Q13" s="20">
        <f t="shared" si="4"/>
        <v>3.714130434782609</v>
      </c>
    </row>
    <row r="14" spans="1:17" x14ac:dyDescent="0.3">
      <c r="A14" t="s">
        <v>21</v>
      </c>
      <c r="B14" t="s">
        <v>84</v>
      </c>
      <c r="C14">
        <v>442</v>
      </c>
      <c r="D14">
        <v>1568</v>
      </c>
      <c r="E14">
        <v>3.5</v>
      </c>
      <c r="F14">
        <v>12</v>
      </c>
      <c r="G14">
        <v>5</v>
      </c>
      <c r="H14">
        <v>0</v>
      </c>
      <c r="I14">
        <v>30</v>
      </c>
      <c r="J14">
        <v>87</v>
      </c>
      <c r="K14">
        <v>19.7</v>
      </c>
      <c r="L14">
        <v>5</v>
      </c>
      <c r="M14" s="17">
        <f t="shared" si="0"/>
        <v>1.1312217194570135E-2</v>
      </c>
      <c r="N14" s="17">
        <f t="shared" si="1"/>
        <v>0.9886877828054299</v>
      </c>
      <c r="O14" s="17">
        <f t="shared" si="2"/>
        <v>1.1312217194570135E-2</v>
      </c>
      <c r="P14" s="17">
        <f t="shared" si="3"/>
        <v>0</v>
      </c>
      <c r="Q14" s="20">
        <f t="shared" si="4"/>
        <v>3.1967963386727685</v>
      </c>
    </row>
    <row r="15" spans="1:17" x14ac:dyDescent="0.3">
      <c r="A15" t="s">
        <v>11</v>
      </c>
      <c r="B15" t="s">
        <v>119</v>
      </c>
      <c r="C15">
        <v>550</v>
      </c>
      <c r="D15">
        <v>2715</v>
      </c>
      <c r="E15">
        <v>4.9000000000000004</v>
      </c>
      <c r="F15">
        <v>25</v>
      </c>
      <c r="G15">
        <v>17</v>
      </c>
      <c r="H15">
        <v>0</v>
      </c>
      <c r="I15">
        <v>38</v>
      </c>
      <c r="J15">
        <v>163</v>
      </c>
      <c r="K15">
        <v>29.6</v>
      </c>
      <c r="L15">
        <v>6</v>
      </c>
      <c r="M15" s="17">
        <f t="shared" si="0"/>
        <v>1.090909090909091E-2</v>
      </c>
      <c r="N15" s="17">
        <f t="shared" si="1"/>
        <v>0.96909090909090911</v>
      </c>
      <c r="O15" s="17">
        <f t="shared" si="2"/>
        <v>3.090909090909091E-2</v>
      </c>
      <c r="P15" s="17">
        <f t="shared" si="3"/>
        <v>0</v>
      </c>
      <c r="Q15" s="20">
        <f t="shared" si="4"/>
        <v>4.0994371482176364</v>
      </c>
    </row>
    <row r="16" spans="1:17" x14ac:dyDescent="0.3">
      <c r="A16" t="s">
        <v>25</v>
      </c>
      <c r="B16" t="s">
        <v>100</v>
      </c>
      <c r="C16">
        <v>393</v>
      </c>
      <c r="D16">
        <v>1451</v>
      </c>
      <c r="E16">
        <v>3.7</v>
      </c>
      <c r="F16">
        <v>11</v>
      </c>
      <c r="G16">
        <v>2</v>
      </c>
      <c r="H16">
        <v>0</v>
      </c>
      <c r="I16">
        <v>39</v>
      </c>
      <c r="J16">
        <v>75</v>
      </c>
      <c r="K16">
        <v>19.100000000000001</v>
      </c>
      <c r="L16">
        <v>9</v>
      </c>
      <c r="M16" s="17">
        <f t="shared" si="0"/>
        <v>2.2900763358778626E-2</v>
      </c>
      <c r="N16" s="17">
        <f t="shared" si="1"/>
        <v>0.99491094147582693</v>
      </c>
      <c r="O16" s="17">
        <f t="shared" si="2"/>
        <v>5.0890585241730284E-3</v>
      </c>
      <c r="P16" s="17">
        <f t="shared" si="3"/>
        <v>0</v>
      </c>
      <c r="Q16" s="20">
        <f t="shared" si="4"/>
        <v>3.5654731457800515</v>
      </c>
    </row>
    <row r="17" spans="1:17" x14ac:dyDescent="0.3">
      <c r="A17" t="s">
        <v>23</v>
      </c>
      <c r="B17" t="s">
        <v>103</v>
      </c>
      <c r="C17">
        <v>477</v>
      </c>
      <c r="D17">
        <v>2061</v>
      </c>
      <c r="E17">
        <v>4.3</v>
      </c>
      <c r="F17">
        <v>13</v>
      </c>
      <c r="G17">
        <v>8</v>
      </c>
      <c r="H17">
        <v>0</v>
      </c>
      <c r="I17">
        <v>38</v>
      </c>
      <c r="J17">
        <v>129</v>
      </c>
      <c r="K17">
        <v>27</v>
      </c>
      <c r="L17">
        <v>10</v>
      </c>
      <c r="M17" s="17">
        <f t="shared" si="0"/>
        <v>2.0964360587002098E-2</v>
      </c>
      <c r="N17" s="17">
        <f t="shared" si="1"/>
        <v>0.98322851153039836</v>
      </c>
      <c r="O17" s="17">
        <f t="shared" si="2"/>
        <v>1.6771488469601678E-2</v>
      </c>
      <c r="P17" s="17">
        <f t="shared" si="3"/>
        <v>0</v>
      </c>
      <c r="Q17" s="20">
        <f t="shared" si="4"/>
        <v>3.8616204690831553</v>
      </c>
    </row>
    <row r="18" spans="1:17" x14ac:dyDescent="0.3">
      <c r="A18" t="s">
        <v>9</v>
      </c>
      <c r="B18" t="s">
        <v>95</v>
      </c>
      <c r="C18">
        <v>419</v>
      </c>
      <c r="D18">
        <v>1688</v>
      </c>
      <c r="E18">
        <v>4</v>
      </c>
      <c r="F18">
        <v>8</v>
      </c>
      <c r="G18">
        <v>9</v>
      </c>
      <c r="H18">
        <v>2</v>
      </c>
      <c r="I18">
        <v>46</v>
      </c>
      <c r="J18">
        <v>90</v>
      </c>
      <c r="K18">
        <v>21.5</v>
      </c>
      <c r="L18">
        <v>4</v>
      </c>
      <c r="M18" s="17">
        <f t="shared" si="0"/>
        <v>9.5465393794749408E-3</v>
      </c>
      <c r="N18" s="17">
        <f t="shared" si="1"/>
        <v>0.97374701670644392</v>
      </c>
      <c r="O18" s="17">
        <f t="shared" si="2"/>
        <v>2.1479713603818614E-2</v>
      </c>
      <c r="P18" s="17">
        <f t="shared" si="3"/>
        <v>4.7732696897374704E-3</v>
      </c>
      <c r="Q18" s="20">
        <f t="shared" si="4"/>
        <v>3.2254901960784315</v>
      </c>
    </row>
    <row r="19" spans="1:17" x14ac:dyDescent="0.3">
      <c r="A19" t="s">
        <v>31</v>
      </c>
      <c r="B19" t="s">
        <v>92</v>
      </c>
      <c r="C19">
        <v>392</v>
      </c>
      <c r="D19">
        <v>1755</v>
      </c>
      <c r="E19">
        <v>4.5</v>
      </c>
      <c r="F19">
        <v>13</v>
      </c>
      <c r="G19">
        <v>7</v>
      </c>
      <c r="H19">
        <v>2</v>
      </c>
      <c r="I19" t="s">
        <v>130</v>
      </c>
      <c r="J19">
        <v>92</v>
      </c>
      <c r="K19">
        <v>23.5</v>
      </c>
      <c r="L19">
        <v>6</v>
      </c>
      <c r="M19" s="17">
        <f t="shared" si="0"/>
        <v>1.5306122448979591E-2</v>
      </c>
      <c r="N19" s="17">
        <f t="shared" si="1"/>
        <v>0.97704081632653061</v>
      </c>
      <c r="O19" s="17">
        <f t="shared" si="2"/>
        <v>1.7857142857142856E-2</v>
      </c>
      <c r="P19" s="17">
        <f t="shared" si="3"/>
        <v>5.1020408163265302E-3</v>
      </c>
      <c r="Q19" s="20">
        <f t="shared" si="4"/>
        <v>3.8224543080939948</v>
      </c>
    </row>
    <row r="20" spans="1:17" x14ac:dyDescent="0.3">
      <c r="A20" t="s">
        <v>27</v>
      </c>
      <c r="B20" t="s">
        <v>93</v>
      </c>
      <c r="C20">
        <v>380</v>
      </c>
      <c r="D20">
        <v>1667</v>
      </c>
      <c r="E20">
        <v>4.4000000000000004</v>
      </c>
      <c r="F20">
        <v>14</v>
      </c>
      <c r="G20">
        <v>9</v>
      </c>
      <c r="H20">
        <v>2</v>
      </c>
      <c r="I20">
        <v>55</v>
      </c>
      <c r="J20">
        <v>87</v>
      </c>
      <c r="K20">
        <v>22.9</v>
      </c>
      <c r="L20">
        <v>1</v>
      </c>
      <c r="M20" s="17">
        <f t="shared" si="0"/>
        <v>2.631578947368421E-3</v>
      </c>
      <c r="N20" s="17">
        <f t="shared" si="1"/>
        <v>0.97105263157894739</v>
      </c>
      <c r="O20" s="17">
        <f t="shared" si="2"/>
        <v>2.368421052631579E-2</v>
      </c>
      <c r="P20" s="17">
        <f t="shared" si="3"/>
        <v>5.263157894736842E-3</v>
      </c>
      <c r="Q20" s="20">
        <f t="shared" si="4"/>
        <v>3.5555555555555558</v>
      </c>
    </row>
    <row r="21" spans="1:17" x14ac:dyDescent="0.3">
      <c r="A21" t="s">
        <v>30</v>
      </c>
      <c r="B21" t="s">
        <v>97</v>
      </c>
      <c r="C21">
        <v>427</v>
      </c>
      <c r="D21">
        <v>1886</v>
      </c>
      <c r="E21">
        <v>4.4000000000000004</v>
      </c>
      <c r="F21">
        <v>12</v>
      </c>
      <c r="G21">
        <v>12</v>
      </c>
      <c r="H21">
        <v>2</v>
      </c>
      <c r="I21" t="s">
        <v>110</v>
      </c>
      <c r="J21">
        <v>104</v>
      </c>
      <c r="K21">
        <v>24.4</v>
      </c>
      <c r="L21">
        <v>6</v>
      </c>
      <c r="M21" s="17">
        <f t="shared" si="0"/>
        <v>1.405152224824356E-2</v>
      </c>
      <c r="N21" s="17">
        <f t="shared" si="1"/>
        <v>0.96721311475409832</v>
      </c>
      <c r="O21" s="17">
        <f t="shared" si="2"/>
        <v>2.8103044496487119E-2</v>
      </c>
      <c r="P21" s="17">
        <f t="shared" si="3"/>
        <v>4.6838407494145199E-3</v>
      </c>
      <c r="Q21" s="20">
        <f t="shared" si="4"/>
        <v>3.4595641646489113</v>
      </c>
    </row>
    <row r="22" spans="1:17" x14ac:dyDescent="0.3">
      <c r="A22" t="s">
        <v>24</v>
      </c>
      <c r="B22" t="s">
        <v>96</v>
      </c>
      <c r="C22">
        <v>446</v>
      </c>
      <c r="D22">
        <v>1900</v>
      </c>
      <c r="E22">
        <v>4.3</v>
      </c>
      <c r="F22">
        <v>13</v>
      </c>
      <c r="G22">
        <v>7</v>
      </c>
      <c r="H22">
        <v>1</v>
      </c>
      <c r="I22">
        <v>57</v>
      </c>
      <c r="J22">
        <v>109</v>
      </c>
      <c r="K22">
        <v>24.4</v>
      </c>
      <c r="L22">
        <v>5</v>
      </c>
      <c r="M22" s="17">
        <f t="shared" si="0"/>
        <v>1.1210762331838564E-2</v>
      </c>
      <c r="N22" s="17">
        <f t="shared" si="1"/>
        <v>0.98206278026905824</v>
      </c>
      <c r="O22" s="17">
        <f t="shared" si="2"/>
        <v>1.5695067264573991E-2</v>
      </c>
      <c r="P22" s="17">
        <f t="shared" si="3"/>
        <v>2.242152466367713E-3</v>
      </c>
      <c r="Q22" s="20">
        <f t="shared" si="4"/>
        <v>3.7963470319634705</v>
      </c>
    </row>
    <row r="23" spans="1:17" x14ac:dyDescent="0.3">
      <c r="A23" t="s">
        <v>28</v>
      </c>
      <c r="B23" t="s">
        <v>94</v>
      </c>
      <c r="C23">
        <v>455</v>
      </c>
      <c r="D23">
        <v>1842</v>
      </c>
      <c r="E23">
        <v>4</v>
      </c>
      <c r="F23">
        <v>17</v>
      </c>
      <c r="G23">
        <v>8</v>
      </c>
      <c r="H23">
        <v>0</v>
      </c>
      <c r="I23">
        <v>33</v>
      </c>
      <c r="J23">
        <v>118</v>
      </c>
      <c r="K23">
        <v>25.9</v>
      </c>
      <c r="L23">
        <v>10</v>
      </c>
      <c r="M23" s="17">
        <f t="shared" si="0"/>
        <v>2.197802197802198E-2</v>
      </c>
      <c r="N23" s="17">
        <f t="shared" si="1"/>
        <v>0.98241758241758237</v>
      </c>
      <c r="O23" s="17">
        <f t="shared" si="2"/>
        <v>1.7582417582417582E-2</v>
      </c>
      <c r="P23" s="17">
        <f t="shared" si="3"/>
        <v>0</v>
      </c>
      <c r="Q23" s="20">
        <f t="shared" si="4"/>
        <v>3.534675615212528</v>
      </c>
    </row>
    <row r="24" spans="1:17" x14ac:dyDescent="0.3">
      <c r="A24" t="s">
        <v>5</v>
      </c>
      <c r="B24" t="s">
        <v>108</v>
      </c>
      <c r="C24">
        <v>489</v>
      </c>
      <c r="D24">
        <v>2151</v>
      </c>
      <c r="E24">
        <v>4.4000000000000004</v>
      </c>
      <c r="F24">
        <v>24</v>
      </c>
      <c r="G24">
        <v>11</v>
      </c>
      <c r="H24">
        <v>1</v>
      </c>
      <c r="I24" t="s">
        <v>91</v>
      </c>
      <c r="J24">
        <v>139</v>
      </c>
      <c r="K24">
        <v>28.4</v>
      </c>
      <c r="L24">
        <v>7</v>
      </c>
      <c r="M24" s="17">
        <f t="shared" si="0"/>
        <v>1.4314928425357873E-2</v>
      </c>
      <c r="N24" s="17">
        <f t="shared" si="1"/>
        <v>0.97546012269938653</v>
      </c>
      <c r="O24" s="17">
        <f t="shared" si="2"/>
        <v>2.2494887525562373E-2</v>
      </c>
      <c r="P24" s="17">
        <f t="shared" si="3"/>
        <v>2.0449897750511249E-3</v>
      </c>
      <c r="Q24" s="20">
        <f t="shared" si="4"/>
        <v>3.7245283018867927</v>
      </c>
    </row>
    <row r="25" spans="1:17" x14ac:dyDescent="0.3">
      <c r="A25" t="s">
        <v>17</v>
      </c>
      <c r="B25" t="s">
        <v>82</v>
      </c>
      <c r="C25">
        <v>414</v>
      </c>
      <c r="D25">
        <v>1617</v>
      </c>
      <c r="E25">
        <v>3.9</v>
      </c>
      <c r="F25">
        <v>14</v>
      </c>
      <c r="G25">
        <v>7</v>
      </c>
      <c r="H25">
        <v>0</v>
      </c>
      <c r="I25">
        <v>31</v>
      </c>
      <c r="J25">
        <v>95</v>
      </c>
      <c r="K25">
        <v>22.9</v>
      </c>
      <c r="L25">
        <v>9</v>
      </c>
      <c r="M25" s="17">
        <f t="shared" si="0"/>
        <v>2.1739130434782608E-2</v>
      </c>
      <c r="N25" s="17">
        <f t="shared" si="1"/>
        <v>0.98309178743961356</v>
      </c>
      <c r="O25" s="17">
        <f t="shared" si="2"/>
        <v>1.6908212560386472E-2</v>
      </c>
      <c r="P25" s="17">
        <f t="shared" si="3"/>
        <v>0</v>
      </c>
      <c r="Q25" s="20">
        <f t="shared" si="4"/>
        <v>3.4511056511056508</v>
      </c>
    </row>
    <row r="26" spans="1:17" x14ac:dyDescent="0.3">
      <c r="A26" t="s">
        <v>7</v>
      </c>
      <c r="B26" t="s">
        <v>88</v>
      </c>
      <c r="C26">
        <v>420</v>
      </c>
      <c r="D26">
        <v>1683</v>
      </c>
      <c r="E26">
        <v>4</v>
      </c>
      <c r="F26">
        <v>10</v>
      </c>
      <c r="G26">
        <v>3</v>
      </c>
      <c r="H26">
        <v>0</v>
      </c>
      <c r="I26">
        <v>39</v>
      </c>
      <c r="J26">
        <v>99</v>
      </c>
      <c r="K26">
        <v>23.6</v>
      </c>
      <c r="L26">
        <v>3</v>
      </c>
      <c r="M26" s="17">
        <f t="shared" si="0"/>
        <v>7.1428571428571426E-3</v>
      </c>
      <c r="N26" s="17">
        <f t="shared" si="1"/>
        <v>0.99285714285714288</v>
      </c>
      <c r="O26" s="17">
        <f t="shared" si="2"/>
        <v>7.1428571428571426E-3</v>
      </c>
      <c r="P26" s="17">
        <f t="shared" si="3"/>
        <v>0</v>
      </c>
      <c r="Q26" s="20">
        <f t="shared" si="4"/>
        <v>3.8129496402877696</v>
      </c>
    </row>
    <row r="27" spans="1:17" x14ac:dyDescent="0.3">
      <c r="A27" t="s">
        <v>16</v>
      </c>
      <c r="B27" t="s">
        <v>86</v>
      </c>
      <c r="C27">
        <v>517</v>
      </c>
      <c r="D27">
        <v>2479</v>
      </c>
      <c r="E27">
        <v>4.8</v>
      </c>
      <c r="F27">
        <v>18</v>
      </c>
      <c r="G27">
        <v>15</v>
      </c>
      <c r="H27">
        <v>1</v>
      </c>
      <c r="I27" t="s">
        <v>125</v>
      </c>
      <c r="J27">
        <v>159</v>
      </c>
      <c r="K27">
        <v>30.8</v>
      </c>
      <c r="L27">
        <v>7</v>
      </c>
      <c r="M27" s="17">
        <f t="shared" si="0"/>
        <v>1.3539651837524178E-2</v>
      </c>
      <c r="N27" s="17">
        <f t="shared" si="1"/>
        <v>0.96905222437137328</v>
      </c>
      <c r="O27" s="17">
        <f t="shared" si="2"/>
        <v>2.9013539651837523E-2</v>
      </c>
      <c r="P27" s="17">
        <f t="shared" si="3"/>
        <v>1.9342359767891683E-3</v>
      </c>
      <c r="Q27" s="20">
        <f t="shared" si="4"/>
        <v>3.9652694610778441</v>
      </c>
    </row>
    <row r="28" spans="1:17" x14ac:dyDescent="0.3">
      <c r="A28" t="s">
        <v>18</v>
      </c>
      <c r="B28" t="s">
        <v>116</v>
      </c>
      <c r="C28">
        <v>510</v>
      </c>
      <c r="D28">
        <v>1991</v>
      </c>
      <c r="E28">
        <v>3.9</v>
      </c>
      <c r="F28">
        <v>12</v>
      </c>
      <c r="G28">
        <v>9</v>
      </c>
      <c r="H28">
        <v>1</v>
      </c>
      <c r="I28" t="s">
        <v>131</v>
      </c>
      <c r="J28">
        <v>113</v>
      </c>
      <c r="K28">
        <v>22.2</v>
      </c>
      <c r="L28">
        <v>2</v>
      </c>
      <c r="M28" s="17">
        <f t="shared" si="0"/>
        <v>3.9215686274509803E-3</v>
      </c>
      <c r="N28" s="17">
        <f t="shared" si="1"/>
        <v>0.98039215686274506</v>
      </c>
      <c r="O28" s="17">
        <f t="shared" si="2"/>
        <v>1.7647058823529412E-2</v>
      </c>
      <c r="P28" s="17">
        <f t="shared" si="3"/>
        <v>1.9607843137254902E-3</v>
      </c>
      <c r="Q28" s="20">
        <f t="shared" si="4"/>
        <v>3.3479999999999999</v>
      </c>
    </row>
    <row r="29" spans="1:17" x14ac:dyDescent="0.3">
      <c r="A29" t="s">
        <v>15</v>
      </c>
      <c r="B29" t="s">
        <v>117</v>
      </c>
      <c r="C29">
        <v>413</v>
      </c>
      <c r="D29">
        <v>2074</v>
      </c>
      <c r="E29">
        <v>5</v>
      </c>
      <c r="F29">
        <v>18</v>
      </c>
      <c r="G29">
        <v>18</v>
      </c>
      <c r="H29">
        <v>3</v>
      </c>
      <c r="I29" t="s">
        <v>81</v>
      </c>
      <c r="J29">
        <v>106</v>
      </c>
      <c r="K29">
        <v>25.7</v>
      </c>
      <c r="L29">
        <v>4</v>
      </c>
      <c r="M29" s="17">
        <f t="shared" si="0"/>
        <v>9.6852300242130755E-3</v>
      </c>
      <c r="N29" s="17">
        <f t="shared" si="1"/>
        <v>0.94915254237288138</v>
      </c>
      <c r="O29" s="17">
        <f t="shared" si="2"/>
        <v>4.3583535108958835E-2</v>
      </c>
      <c r="P29" s="17">
        <f t="shared" si="3"/>
        <v>7.2639225181598066E-3</v>
      </c>
      <c r="Q29" s="20">
        <f t="shared" si="4"/>
        <v>3.5459183673469385</v>
      </c>
    </row>
    <row r="30" spans="1:17" x14ac:dyDescent="0.3">
      <c r="A30" t="s">
        <v>20</v>
      </c>
      <c r="B30" t="s">
        <v>78</v>
      </c>
      <c r="C30">
        <v>411</v>
      </c>
      <c r="D30">
        <v>1583</v>
      </c>
      <c r="E30">
        <v>3.9</v>
      </c>
      <c r="F30">
        <v>10</v>
      </c>
      <c r="G30">
        <v>9</v>
      </c>
      <c r="H30">
        <v>0</v>
      </c>
      <c r="I30" t="s">
        <v>132</v>
      </c>
      <c r="J30">
        <v>85</v>
      </c>
      <c r="K30">
        <v>20.7</v>
      </c>
      <c r="L30">
        <v>0</v>
      </c>
      <c r="M30" s="17">
        <f t="shared" si="0"/>
        <v>0</v>
      </c>
      <c r="N30" s="17">
        <f t="shared" si="1"/>
        <v>0.97810218978102192</v>
      </c>
      <c r="O30" s="17">
        <f t="shared" si="2"/>
        <v>2.1897810218978103E-2</v>
      </c>
      <c r="P30" s="17">
        <f t="shared" si="3"/>
        <v>0</v>
      </c>
      <c r="Q30" s="20">
        <f t="shared" si="4"/>
        <v>3.3156716417910443</v>
      </c>
    </row>
    <row r="31" spans="1:17" x14ac:dyDescent="0.3">
      <c r="A31" t="s">
        <v>29</v>
      </c>
      <c r="B31" t="s">
        <v>104</v>
      </c>
      <c r="C31">
        <v>420</v>
      </c>
      <c r="D31">
        <v>1422</v>
      </c>
      <c r="E31">
        <v>3.4</v>
      </c>
      <c r="F31">
        <v>8</v>
      </c>
      <c r="G31">
        <v>6</v>
      </c>
      <c r="H31">
        <v>0</v>
      </c>
      <c r="I31">
        <v>36</v>
      </c>
      <c r="J31">
        <v>77</v>
      </c>
      <c r="K31">
        <v>18.3</v>
      </c>
      <c r="L31">
        <v>5</v>
      </c>
      <c r="M31" s="17">
        <f t="shared" si="0"/>
        <v>1.1904761904761904E-2</v>
      </c>
      <c r="N31" s="17">
        <f t="shared" si="1"/>
        <v>0.98571428571428577</v>
      </c>
      <c r="O31" s="17">
        <f t="shared" si="2"/>
        <v>1.4285714285714285E-2</v>
      </c>
      <c r="P31" s="17">
        <f t="shared" si="3"/>
        <v>0</v>
      </c>
      <c r="Q31" s="20">
        <f t="shared" si="4"/>
        <v>3.0144927536231885</v>
      </c>
    </row>
    <row r="32" spans="1:17" x14ac:dyDescent="0.3">
      <c r="A32" t="s">
        <v>14</v>
      </c>
      <c r="B32" t="s">
        <v>109</v>
      </c>
      <c r="C32">
        <v>551</v>
      </c>
      <c r="D32">
        <v>2404</v>
      </c>
      <c r="E32">
        <v>4.4000000000000004</v>
      </c>
      <c r="F32">
        <v>23</v>
      </c>
      <c r="G32">
        <v>11</v>
      </c>
      <c r="H32">
        <v>3</v>
      </c>
      <c r="I32" t="s">
        <v>112</v>
      </c>
      <c r="J32">
        <v>134</v>
      </c>
      <c r="K32">
        <v>24.3</v>
      </c>
      <c r="L32">
        <v>9</v>
      </c>
      <c r="M32" s="17">
        <f t="shared" si="0"/>
        <v>1.6333938294010888E-2</v>
      </c>
      <c r="N32" s="17">
        <f t="shared" si="1"/>
        <v>0.97459165154264971</v>
      </c>
      <c r="O32" s="17">
        <f t="shared" si="2"/>
        <v>1.9963702359346643E-2</v>
      </c>
      <c r="P32" s="17">
        <f t="shared" si="3"/>
        <v>5.4446460980036296E-3</v>
      </c>
      <c r="Q32" s="20">
        <f t="shared" si="4"/>
        <v>3.6487895716945999</v>
      </c>
    </row>
    <row r="33" spans="1:17" x14ac:dyDescent="0.3">
      <c r="A33" t="s">
        <v>13</v>
      </c>
      <c r="B33" t="s">
        <v>90</v>
      </c>
      <c r="C33">
        <v>449</v>
      </c>
      <c r="D33">
        <v>1930</v>
      </c>
      <c r="E33">
        <v>4.3</v>
      </c>
      <c r="F33">
        <v>10</v>
      </c>
      <c r="G33">
        <v>13</v>
      </c>
      <c r="H33">
        <v>2</v>
      </c>
      <c r="I33">
        <v>66</v>
      </c>
      <c r="J33">
        <v>103</v>
      </c>
      <c r="K33">
        <v>22.9</v>
      </c>
      <c r="L33">
        <v>6</v>
      </c>
      <c r="M33" s="17">
        <f t="shared" si="0"/>
        <v>1.3363028953229399E-2</v>
      </c>
      <c r="N33" s="17">
        <f t="shared" si="1"/>
        <v>0.96659242761692654</v>
      </c>
      <c r="O33" s="17">
        <f t="shared" si="2"/>
        <v>2.8953229398663696E-2</v>
      </c>
      <c r="P33" s="17">
        <f t="shared" si="3"/>
        <v>4.4543429844097994E-3</v>
      </c>
      <c r="Q33" s="20">
        <f t="shared" si="4"/>
        <v>3.3426267281105986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F8E1C-5DCD-4EFF-BEC8-A8AE5CEDD0F8}">
  <sheetPr codeName="Sheet6"/>
  <dimension ref="A1:P33"/>
  <sheetViews>
    <sheetView workbookViewId="0">
      <selection activeCell="G1" sqref="G1:G1048576"/>
    </sheetView>
  </sheetViews>
  <sheetFormatPr defaultRowHeight="14.4" x14ac:dyDescent="0.3"/>
  <sheetData>
    <row r="1" spans="1:16" x14ac:dyDescent="0.3">
      <c r="A1" t="s">
        <v>53</v>
      </c>
      <c r="B1" t="s">
        <v>133</v>
      </c>
      <c r="C1" t="s">
        <v>43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69</v>
      </c>
      <c r="K1" t="s">
        <v>140</v>
      </c>
      <c r="L1" t="s">
        <v>190</v>
      </c>
      <c r="M1" t="s">
        <v>191</v>
      </c>
      <c r="N1" t="s">
        <v>192</v>
      </c>
      <c r="O1" t="s">
        <v>193</v>
      </c>
      <c r="P1" s="21" t="s">
        <v>194</v>
      </c>
    </row>
    <row r="2" spans="1:16" x14ac:dyDescent="0.3">
      <c r="A2" t="s">
        <v>13</v>
      </c>
      <c r="B2">
        <v>27</v>
      </c>
      <c r="C2">
        <v>32</v>
      </c>
      <c r="D2">
        <v>84.4</v>
      </c>
      <c r="E2" s="20" t="s">
        <v>141</v>
      </c>
      <c r="F2" s="20" t="s">
        <v>142</v>
      </c>
      <c r="G2" s="20" t="s">
        <v>143</v>
      </c>
      <c r="H2" s="20" t="s">
        <v>144</v>
      </c>
      <c r="I2" s="20" t="s">
        <v>145</v>
      </c>
      <c r="J2">
        <v>56</v>
      </c>
      <c r="K2">
        <v>0</v>
      </c>
      <c r="L2" s="17">
        <f t="shared" ref="L2:L33" si="0">IFERROR(RIGHT(E2,LEN(E2)-SEARCH("_",E2))/LEFT(E2,SEARCH("_",E2)-1),1)</f>
        <v>1</v>
      </c>
      <c r="M2" s="17">
        <f t="shared" ref="M2:M33" si="1">IFERROR(RIGHT(F2,LEN(F2)-SEARCH("_",F2))/LEFT(F2,SEARCH("_",F2)-1),1)</f>
        <v>1</v>
      </c>
      <c r="N2" s="17">
        <f t="shared" ref="N2:N33" si="2">IFERROR(RIGHT(G2,LEN(G2)-SEARCH("_",G2))/LEFT(G2,SEARCH("_",G2)-1),1)</f>
        <v>1</v>
      </c>
      <c r="O2" s="17">
        <f t="shared" ref="O2:O33" si="3">IFERROR(RIGHT(H2,LEN(H2)-SEARCH("_",H2))/LEFT(H2,SEARCH("_",H2)-1),1)</f>
        <v>0.69230769230769229</v>
      </c>
      <c r="P2" s="17">
        <f>IFERROR(RIGHT(I2,LEN(I2)-SEARCH("_",I2))/LEFT(I2,SEARCH("_",I2)-1),1)</f>
        <v>0.83333333333333337</v>
      </c>
    </row>
    <row r="3" spans="1:16" x14ac:dyDescent="0.3">
      <c r="A3" t="s">
        <v>26</v>
      </c>
      <c r="B3">
        <v>26</v>
      </c>
      <c r="C3">
        <v>30</v>
      </c>
      <c r="D3">
        <v>86.7</v>
      </c>
      <c r="E3" s="20" t="s">
        <v>141</v>
      </c>
      <c r="F3" s="20" t="s">
        <v>146</v>
      </c>
      <c r="G3" s="20" t="s">
        <v>147</v>
      </c>
      <c r="H3" s="20" t="s">
        <v>148</v>
      </c>
      <c r="I3" s="20" t="s">
        <v>149</v>
      </c>
      <c r="J3">
        <v>47</v>
      </c>
      <c r="K3">
        <v>1</v>
      </c>
      <c r="L3" s="17">
        <f t="shared" si="0"/>
        <v>1</v>
      </c>
      <c r="M3" s="17">
        <f t="shared" si="1"/>
        <v>1</v>
      </c>
      <c r="N3" s="17">
        <f t="shared" si="2"/>
        <v>1</v>
      </c>
      <c r="O3" s="17">
        <f t="shared" si="3"/>
        <v>0.84615384615384615</v>
      </c>
      <c r="P3" s="17">
        <f t="shared" ref="P3:P33" si="4">IFERROR(RIGHT(I3,LEN(I3)-SEARCH("_",I3))/LEFT(I3,SEARCH("_",I3)-1),1)</f>
        <v>0</v>
      </c>
    </row>
    <row r="4" spans="1:16" x14ac:dyDescent="0.3">
      <c r="A4" t="s">
        <v>6</v>
      </c>
      <c r="B4">
        <v>29</v>
      </c>
      <c r="C4">
        <v>34</v>
      </c>
      <c r="D4">
        <v>85.3</v>
      </c>
      <c r="E4" s="20" t="s">
        <v>141</v>
      </c>
      <c r="F4" s="20" t="s">
        <v>147</v>
      </c>
      <c r="G4" s="20" t="s">
        <v>150</v>
      </c>
      <c r="H4" s="20" t="s">
        <v>151</v>
      </c>
      <c r="I4" s="20" t="s">
        <v>152</v>
      </c>
      <c r="J4">
        <v>58</v>
      </c>
      <c r="K4">
        <v>0</v>
      </c>
      <c r="L4" s="17">
        <f t="shared" si="0"/>
        <v>1</v>
      </c>
      <c r="M4" s="17">
        <f t="shared" si="1"/>
        <v>1</v>
      </c>
      <c r="N4" s="17">
        <f t="shared" si="2"/>
        <v>1</v>
      </c>
      <c r="O4" s="17">
        <f t="shared" si="3"/>
        <v>0.66666666666666663</v>
      </c>
      <c r="P4" s="17">
        <f t="shared" si="4"/>
        <v>0.81818181818181823</v>
      </c>
    </row>
    <row r="5" spans="1:16" x14ac:dyDescent="0.3">
      <c r="A5" t="s">
        <v>2</v>
      </c>
      <c r="B5">
        <v>28</v>
      </c>
      <c r="C5">
        <v>32</v>
      </c>
      <c r="D5">
        <v>87.5</v>
      </c>
      <c r="E5" s="20" t="s">
        <v>141</v>
      </c>
      <c r="F5" s="20" t="s">
        <v>153</v>
      </c>
      <c r="G5" s="20" t="s">
        <v>154</v>
      </c>
      <c r="H5" s="20" t="s">
        <v>155</v>
      </c>
      <c r="I5" s="20" t="s">
        <v>156</v>
      </c>
      <c r="J5">
        <v>57</v>
      </c>
      <c r="K5">
        <v>0</v>
      </c>
      <c r="L5" s="17">
        <f t="shared" si="0"/>
        <v>1</v>
      </c>
      <c r="M5" s="17">
        <f t="shared" si="1"/>
        <v>1</v>
      </c>
      <c r="N5" s="17">
        <f t="shared" si="2"/>
        <v>0.875</v>
      </c>
      <c r="O5" s="17">
        <f t="shared" si="3"/>
        <v>0.8</v>
      </c>
      <c r="P5" s="17">
        <f t="shared" si="4"/>
        <v>0.5</v>
      </c>
    </row>
    <row r="6" spans="1:16" x14ac:dyDescent="0.3">
      <c r="A6" t="s">
        <v>22</v>
      </c>
      <c r="B6">
        <v>26</v>
      </c>
      <c r="C6">
        <v>31</v>
      </c>
      <c r="D6">
        <v>83.9</v>
      </c>
      <c r="E6" s="20" t="s">
        <v>141</v>
      </c>
      <c r="F6" s="20" t="s">
        <v>154</v>
      </c>
      <c r="G6" s="20" t="s">
        <v>143</v>
      </c>
      <c r="H6" s="20" t="s">
        <v>157</v>
      </c>
      <c r="I6" s="20" t="s">
        <v>158</v>
      </c>
      <c r="J6">
        <v>61</v>
      </c>
      <c r="K6">
        <v>1</v>
      </c>
      <c r="L6" s="17">
        <f t="shared" si="0"/>
        <v>1</v>
      </c>
      <c r="M6" s="17">
        <f t="shared" si="1"/>
        <v>0.875</v>
      </c>
      <c r="N6" s="17">
        <f t="shared" si="2"/>
        <v>1</v>
      </c>
      <c r="O6" s="17">
        <f t="shared" si="3"/>
        <v>1</v>
      </c>
      <c r="P6" s="17">
        <f t="shared" si="4"/>
        <v>0.55555555555555558</v>
      </c>
    </row>
    <row r="7" spans="1:16" x14ac:dyDescent="0.3">
      <c r="A7" t="s">
        <v>19</v>
      </c>
      <c r="B7">
        <v>16</v>
      </c>
      <c r="C7">
        <v>22</v>
      </c>
      <c r="D7">
        <v>72.7</v>
      </c>
      <c r="E7" s="20" t="s">
        <v>141</v>
      </c>
      <c r="F7" s="20" t="s">
        <v>159</v>
      </c>
      <c r="G7" s="20" t="s">
        <v>147</v>
      </c>
      <c r="H7" s="20" t="s">
        <v>160</v>
      </c>
      <c r="I7" s="20" t="s">
        <v>161</v>
      </c>
      <c r="J7">
        <v>57</v>
      </c>
      <c r="K7">
        <v>1</v>
      </c>
      <c r="L7" s="17">
        <f t="shared" si="0"/>
        <v>1</v>
      </c>
      <c r="M7" s="17">
        <f t="shared" si="1"/>
        <v>1</v>
      </c>
      <c r="N7" s="17">
        <f t="shared" si="2"/>
        <v>1</v>
      </c>
      <c r="O7" s="17">
        <f t="shared" si="3"/>
        <v>0.4</v>
      </c>
      <c r="P7" s="17">
        <f t="shared" si="4"/>
        <v>1</v>
      </c>
    </row>
    <row r="8" spans="1:16" x14ac:dyDescent="0.3">
      <c r="A8" t="s">
        <v>1</v>
      </c>
      <c r="B8">
        <v>25</v>
      </c>
      <c r="C8">
        <v>31</v>
      </c>
      <c r="D8">
        <v>80.599999999999994</v>
      </c>
      <c r="E8" s="20" t="s">
        <v>141</v>
      </c>
      <c r="F8" s="20" t="s">
        <v>162</v>
      </c>
      <c r="G8" s="20" t="s">
        <v>154</v>
      </c>
      <c r="H8" s="20" t="s">
        <v>163</v>
      </c>
      <c r="I8" s="20" t="s">
        <v>149</v>
      </c>
      <c r="J8">
        <v>48</v>
      </c>
      <c r="K8">
        <v>0</v>
      </c>
      <c r="L8" s="17">
        <f t="shared" si="0"/>
        <v>1</v>
      </c>
      <c r="M8" s="17">
        <f t="shared" si="1"/>
        <v>1</v>
      </c>
      <c r="N8" s="17">
        <f t="shared" si="2"/>
        <v>0.875</v>
      </c>
      <c r="O8" s="17">
        <f t="shared" si="3"/>
        <v>0.7</v>
      </c>
      <c r="P8" s="17">
        <f t="shared" si="4"/>
        <v>0</v>
      </c>
    </row>
    <row r="9" spans="1:16" x14ac:dyDescent="0.3">
      <c r="A9" t="s">
        <v>10</v>
      </c>
      <c r="B9">
        <v>30</v>
      </c>
      <c r="C9">
        <v>37</v>
      </c>
      <c r="D9">
        <v>81.099999999999994</v>
      </c>
      <c r="E9" s="20" t="s">
        <v>141</v>
      </c>
      <c r="F9" s="20" t="s">
        <v>162</v>
      </c>
      <c r="G9" s="20" t="s">
        <v>152</v>
      </c>
      <c r="H9" s="20" t="s">
        <v>164</v>
      </c>
      <c r="I9" s="20" t="s">
        <v>163</v>
      </c>
      <c r="J9">
        <v>62</v>
      </c>
      <c r="K9">
        <v>0</v>
      </c>
      <c r="L9" s="17">
        <f t="shared" si="0"/>
        <v>1</v>
      </c>
      <c r="M9" s="17">
        <f t="shared" si="1"/>
        <v>1</v>
      </c>
      <c r="N9" s="17">
        <f t="shared" si="2"/>
        <v>0.81818181818181823</v>
      </c>
      <c r="O9" s="17">
        <f t="shared" si="3"/>
        <v>0.6</v>
      </c>
      <c r="P9" s="17">
        <f t="shared" si="4"/>
        <v>0.7</v>
      </c>
    </row>
    <row r="10" spans="1:16" x14ac:dyDescent="0.3">
      <c r="A10" t="s">
        <v>4</v>
      </c>
      <c r="B10">
        <v>24</v>
      </c>
      <c r="C10">
        <v>27</v>
      </c>
      <c r="D10">
        <v>88.9</v>
      </c>
      <c r="E10" s="20" t="s">
        <v>165</v>
      </c>
      <c r="F10" s="20" t="s">
        <v>157</v>
      </c>
      <c r="G10" s="20" t="s">
        <v>143</v>
      </c>
      <c r="H10" s="20" t="s">
        <v>166</v>
      </c>
      <c r="I10" s="20" t="s">
        <v>167</v>
      </c>
      <c r="J10">
        <v>50</v>
      </c>
      <c r="K10">
        <v>0</v>
      </c>
      <c r="L10" s="17">
        <f t="shared" si="0"/>
        <v>1</v>
      </c>
      <c r="M10" s="17">
        <f t="shared" si="1"/>
        <v>1</v>
      </c>
      <c r="N10" s="17">
        <f t="shared" si="2"/>
        <v>1</v>
      </c>
      <c r="O10" s="17">
        <f t="shared" si="3"/>
        <v>0.88888888888888884</v>
      </c>
      <c r="P10" s="17">
        <f t="shared" si="4"/>
        <v>0.33333333333333331</v>
      </c>
    </row>
    <row r="11" spans="1:16" x14ac:dyDescent="0.3">
      <c r="A11" t="s">
        <v>3</v>
      </c>
      <c r="B11">
        <v>28</v>
      </c>
      <c r="C11">
        <v>32</v>
      </c>
      <c r="D11">
        <v>87.5</v>
      </c>
      <c r="E11" s="20" t="s">
        <v>141</v>
      </c>
      <c r="F11" s="20" t="s">
        <v>159</v>
      </c>
      <c r="G11" s="20" t="s">
        <v>168</v>
      </c>
      <c r="H11" s="20" t="s">
        <v>145</v>
      </c>
      <c r="I11" s="20" t="s">
        <v>169</v>
      </c>
      <c r="J11">
        <v>56</v>
      </c>
      <c r="K11">
        <v>0</v>
      </c>
      <c r="L11" s="17">
        <f t="shared" si="0"/>
        <v>1</v>
      </c>
      <c r="M11" s="17">
        <f t="shared" si="1"/>
        <v>1</v>
      </c>
      <c r="N11" s="17">
        <f t="shared" si="2"/>
        <v>0.9285714285714286</v>
      </c>
      <c r="O11" s="17">
        <f t="shared" si="3"/>
        <v>0.83333333333333337</v>
      </c>
      <c r="P11" s="17">
        <f t="shared" si="4"/>
        <v>0.77777777777777779</v>
      </c>
    </row>
    <row r="12" spans="1:16" x14ac:dyDescent="0.3">
      <c r="A12" t="s">
        <v>8</v>
      </c>
      <c r="B12">
        <v>29</v>
      </c>
      <c r="C12">
        <v>35</v>
      </c>
      <c r="D12">
        <v>82.9</v>
      </c>
      <c r="E12" s="20" t="s">
        <v>141</v>
      </c>
      <c r="F12" s="20" t="s">
        <v>142</v>
      </c>
      <c r="G12" s="20" t="s">
        <v>152</v>
      </c>
      <c r="H12" s="20" t="s">
        <v>170</v>
      </c>
      <c r="I12" s="20" t="s">
        <v>149</v>
      </c>
      <c r="J12">
        <v>48</v>
      </c>
      <c r="K12">
        <v>1</v>
      </c>
      <c r="L12" s="17">
        <f t="shared" si="0"/>
        <v>1</v>
      </c>
      <c r="M12" s="17">
        <f t="shared" si="1"/>
        <v>1</v>
      </c>
      <c r="N12" s="17">
        <f t="shared" si="2"/>
        <v>0.81818181818181823</v>
      </c>
      <c r="O12" s="17">
        <f t="shared" si="3"/>
        <v>0.8666666666666667</v>
      </c>
      <c r="P12" s="17">
        <f t="shared" si="4"/>
        <v>0</v>
      </c>
    </row>
    <row r="13" spans="1:16" x14ac:dyDescent="0.3">
      <c r="A13" t="s">
        <v>0</v>
      </c>
      <c r="B13">
        <v>29</v>
      </c>
      <c r="C13">
        <v>35</v>
      </c>
      <c r="D13">
        <v>82.9</v>
      </c>
      <c r="E13" s="20" t="s">
        <v>141</v>
      </c>
      <c r="F13" s="20" t="s">
        <v>147</v>
      </c>
      <c r="G13" s="20" t="s">
        <v>171</v>
      </c>
      <c r="H13" s="20" t="s">
        <v>169</v>
      </c>
      <c r="I13" s="20" t="s">
        <v>172</v>
      </c>
      <c r="J13">
        <v>56</v>
      </c>
      <c r="K13">
        <v>0</v>
      </c>
      <c r="L13" s="17">
        <f t="shared" si="0"/>
        <v>1</v>
      </c>
      <c r="M13" s="17">
        <f t="shared" si="1"/>
        <v>1</v>
      </c>
      <c r="N13" s="17">
        <f t="shared" si="2"/>
        <v>0.9375</v>
      </c>
      <c r="O13" s="17">
        <f t="shared" si="3"/>
        <v>0.77777777777777779</v>
      </c>
      <c r="P13" s="17">
        <f t="shared" si="4"/>
        <v>0.4</v>
      </c>
    </row>
    <row r="14" spans="1:16" x14ac:dyDescent="0.3">
      <c r="A14" t="s">
        <v>21</v>
      </c>
      <c r="B14">
        <v>23</v>
      </c>
      <c r="C14">
        <v>31</v>
      </c>
      <c r="D14">
        <v>74.2</v>
      </c>
      <c r="E14" s="20" t="s">
        <v>141</v>
      </c>
      <c r="F14" s="20" t="s">
        <v>143</v>
      </c>
      <c r="G14" s="20" t="s">
        <v>169</v>
      </c>
      <c r="H14" s="20" t="s">
        <v>173</v>
      </c>
      <c r="I14" s="20" t="s">
        <v>174</v>
      </c>
      <c r="J14">
        <v>51</v>
      </c>
      <c r="K14">
        <v>3</v>
      </c>
      <c r="L14" s="17">
        <f t="shared" si="0"/>
        <v>1</v>
      </c>
      <c r="M14" s="17">
        <f t="shared" si="1"/>
        <v>1</v>
      </c>
      <c r="N14" s="17">
        <f t="shared" si="2"/>
        <v>0.77777777777777779</v>
      </c>
      <c r="O14" s="17">
        <f t="shared" si="3"/>
        <v>0.8</v>
      </c>
      <c r="P14" s="17">
        <f t="shared" si="4"/>
        <v>0.33333333333333331</v>
      </c>
    </row>
    <row r="15" spans="1:16" x14ac:dyDescent="0.3">
      <c r="A15" t="s">
        <v>11</v>
      </c>
      <c r="B15">
        <v>30</v>
      </c>
      <c r="C15">
        <v>33</v>
      </c>
      <c r="D15">
        <v>90.9</v>
      </c>
      <c r="E15" s="20" t="s">
        <v>141</v>
      </c>
      <c r="F15" s="20" t="s">
        <v>142</v>
      </c>
      <c r="G15" s="20" t="s">
        <v>146</v>
      </c>
      <c r="H15" s="20" t="s">
        <v>175</v>
      </c>
      <c r="I15" s="20" t="s">
        <v>159</v>
      </c>
      <c r="J15">
        <v>58</v>
      </c>
      <c r="K15">
        <v>1</v>
      </c>
      <c r="L15" s="17">
        <f t="shared" si="0"/>
        <v>1</v>
      </c>
      <c r="M15" s="17">
        <f t="shared" si="1"/>
        <v>1</v>
      </c>
      <c r="N15" s="17">
        <f t="shared" si="2"/>
        <v>1</v>
      </c>
      <c r="O15" s="17">
        <f t="shared" si="3"/>
        <v>0.76923076923076927</v>
      </c>
      <c r="P15" s="17">
        <f t="shared" si="4"/>
        <v>1</v>
      </c>
    </row>
    <row r="16" spans="1:16" x14ac:dyDescent="0.3">
      <c r="A16" t="s">
        <v>25</v>
      </c>
      <c r="B16">
        <v>27</v>
      </c>
      <c r="C16">
        <v>29</v>
      </c>
      <c r="D16">
        <v>93.1</v>
      </c>
      <c r="E16" s="20" t="s">
        <v>141</v>
      </c>
      <c r="F16" s="20" t="s">
        <v>157</v>
      </c>
      <c r="G16" s="20" t="s">
        <v>150</v>
      </c>
      <c r="H16" s="20" t="s">
        <v>176</v>
      </c>
      <c r="I16" s="20" t="s">
        <v>155</v>
      </c>
      <c r="J16">
        <v>54</v>
      </c>
      <c r="K16">
        <v>0</v>
      </c>
      <c r="L16" s="17">
        <f t="shared" si="0"/>
        <v>1</v>
      </c>
      <c r="M16" s="17">
        <f t="shared" si="1"/>
        <v>1</v>
      </c>
      <c r="N16" s="17">
        <f t="shared" si="2"/>
        <v>1</v>
      </c>
      <c r="O16" s="17">
        <f t="shared" si="3"/>
        <v>0.8571428571428571</v>
      </c>
      <c r="P16" s="17">
        <f t="shared" si="4"/>
        <v>0.8</v>
      </c>
    </row>
    <row r="17" spans="1:16" x14ac:dyDescent="0.3">
      <c r="A17" t="s">
        <v>23</v>
      </c>
      <c r="B17">
        <v>28</v>
      </c>
      <c r="C17">
        <v>33</v>
      </c>
      <c r="D17">
        <v>84.8</v>
      </c>
      <c r="E17" s="20" t="s">
        <v>141</v>
      </c>
      <c r="F17" s="20" t="s">
        <v>146</v>
      </c>
      <c r="G17" s="20" t="s">
        <v>147</v>
      </c>
      <c r="H17" s="20" t="s">
        <v>177</v>
      </c>
      <c r="I17" s="20" t="s">
        <v>178</v>
      </c>
      <c r="J17">
        <v>55</v>
      </c>
      <c r="K17">
        <v>3</v>
      </c>
      <c r="L17" s="17">
        <f t="shared" si="0"/>
        <v>1</v>
      </c>
      <c r="M17" s="17">
        <f t="shared" si="1"/>
        <v>1</v>
      </c>
      <c r="N17" s="17">
        <f t="shared" si="2"/>
        <v>1</v>
      </c>
      <c r="O17" s="17">
        <f t="shared" si="3"/>
        <v>0.7142857142857143</v>
      </c>
      <c r="P17" s="17">
        <f t="shared" si="4"/>
        <v>0.75</v>
      </c>
    </row>
    <row r="18" spans="1:16" x14ac:dyDescent="0.3">
      <c r="A18" t="s">
        <v>9</v>
      </c>
      <c r="B18">
        <v>29</v>
      </c>
      <c r="C18">
        <v>33</v>
      </c>
      <c r="D18">
        <v>87.9</v>
      </c>
      <c r="E18" s="20" t="s">
        <v>141</v>
      </c>
      <c r="F18" s="20" t="s">
        <v>147</v>
      </c>
      <c r="G18" s="20" t="s">
        <v>179</v>
      </c>
      <c r="H18" s="20" t="s">
        <v>147</v>
      </c>
      <c r="I18" s="20" t="s">
        <v>163</v>
      </c>
      <c r="J18">
        <v>55</v>
      </c>
      <c r="K18">
        <v>0</v>
      </c>
      <c r="L18" s="17">
        <f t="shared" si="0"/>
        <v>1</v>
      </c>
      <c r="M18" s="17">
        <f t="shared" si="1"/>
        <v>1</v>
      </c>
      <c r="N18" s="17">
        <f t="shared" si="2"/>
        <v>0.92307692307692313</v>
      </c>
      <c r="O18" s="17">
        <f t="shared" si="3"/>
        <v>1</v>
      </c>
      <c r="P18" s="17">
        <f t="shared" si="4"/>
        <v>0.7</v>
      </c>
    </row>
    <row r="19" spans="1:16" x14ac:dyDescent="0.3">
      <c r="A19" t="s">
        <v>31</v>
      </c>
      <c r="B19">
        <v>21</v>
      </c>
      <c r="C19">
        <v>27</v>
      </c>
      <c r="D19">
        <v>77.8</v>
      </c>
      <c r="E19" s="20" t="s">
        <v>141</v>
      </c>
      <c r="F19" s="20" t="s">
        <v>142</v>
      </c>
      <c r="G19" s="20" t="s">
        <v>142</v>
      </c>
      <c r="H19" s="20" t="s">
        <v>164</v>
      </c>
      <c r="I19" s="20" t="s">
        <v>180</v>
      </c>
      <c r="J19">
        <v>56</v>
      </c>
      <c r="K19">
        <v>0</v>
      </c>
      <c r="L19" s="17">
        <f t="shared" si="0"/>
        <v>1</v>
      </c>
      <c r="M19" s="17">
        <f t="shared" si="1"/>
        <v>1</v>
      </c>
      <c r="N19" s="17">
        <f t="shared" si="2"/>
        <v>1</v>
      </c>
      <c r="O19" s="17">
        <f t="shared" si="3"/>
        <v>0.6</v>
      </c>
      <c r="P19" s="17">
        <f t="shared" si="4"/>
        <v>0.5</v>
      </c>
    </row>
    <row r="20" spans="1:16" x14ac:dyDescent="0.3">
      <c r="A20" t="s">
        <v>27</v>
      </c>
      <c r="B20">
        <v>21</v>
      </c>
      <c r="C20">
        <v>27</v>
      </c>
      <c r="D20">
        <v>77.8</v>
      </c>
      <c r="E20" s="20" t="s">
        <v>141</v>
      </c>
      <c r="F20" s="20" t="s">
        <v>142</v>
      </c>
      <c r="G20" s="20" t="s">
        <v>157</v>
      </c>
      <c r="H20" s="20" t="s">
        <v>181</v>
      </c>
      <c r="I20" s="20" t="s">
        <v>182</v>
      </c>
      <c r="J20">
        <v>51</v>
      </c>
      <c r="K20">
        <v>0</v>
      </c>
      <c r="L20" s="17">
        <f t="shared" si="0"/>
        <v>1</v>
      </c>
      <c r="M20" s="17">
        <f t="shared" si="1"/>
        <v>1</v>
      </c>
      <c r="N20" s="17">
        <f t="shared" si="2"/>
        <v>1</v>
      </c>
      <c r="O20" s="17">
        <f t="shared" si="3"/>
        <v>0.625</v>
      </c>
      <c r="P20" s="17">
        <f t="shared" si="4"/>
        <v>0.25</v>
      </c>
    </row>
    <row r="21" spans="1:16" x14ac:dyDescent="0.3">
      <c r="A21" t="s">
        <v>30</v>
      </c>
      <c r="B21">
        <v>26</v>
      </c>
      <c r="C21">
        <v>30</v>
      </c>
      <c r="D21">
        <v>86.7</v>
      </c>
      <c r="E21" s="20" t="s">
        <v>141</v>
      </c>
      <c r="F21" s="20" t="s">
        <v>161</v>
      </c>
      <c r="G21" s="20" t="s">
        <v>162</v>
      </c>
      <c r="H21" s="20" t="s">
        <v>183</v>
      </c>
      <c r="I21" s="20" t="s">
        <v>167</v>
      </c>
      <c r="J21">
        <v>52</v>
      </c>
      <c r="K21">
        <v>0</v>
      </c>
      <c r="L21" s="17">
        <f t="shared" si="0"/>
        <v>1</v>
      </c>
      <c r="M21" s="17">
        <f t="shared" si="1"/>
        <v>1</v>
      </c>
      <c r="N21" s="17">
        <f t="shared" si="2"/>
        <v>1</v>
      </c>
      <c r="O21" s="17">
        <f t="shared" si="3"/>
        <v>0.83333333333333337</v>
      </c>
      <c r="P21" s="17">
        <f t="shared" si="4"/>
        <v>0.33333333333333331</v>
      </c>
    </row>
    <row r="22" spans="1:16" x14ac:dyDescent="0.3">
      <c r="A22" t="s">
        <v>24</v>
      </c>
      <c r="B22">
        <v>25</v>
      </c>
      <c r="C22">
        <v>34</v>
      </c>
      <c r="D22">
        <v>73.5</v>
      </c>
      <c r="E22" s="20" t="s">
        <v>141</v>
      </c>
      <c r="F22" s="20" t="s">
        <v>150</v>
      </c>
      <c r="G22" s="20" t="s">
        <v>144</v>
      </c>
      <c r="H22" s="20" t="s">
        <v>180</v>
      </c>
      <c r="I22" s="20" t="s">
        <v>178</v>
      </c>
      <c r="J22">
        <v>54</v>
      </c>
      <c r="K22">
        <v>2</v>
      </c>
      <c r="L22" s="17">
        <f t="shared" si="0"/>
        <v>1</v>
      </c>
      <c r="M22" s="17">
        <f t="shared" si="1"/>
        <v>1</v>
      </c>
      <c r="N22" s="17">
        <f t="shared" si="2"/>
        <v>0.69230769230769229</v>
      </c>
      <c r="O22" s="17">
        <f t="shared" si="3"/>
        <v>0.5</v>
      </c>
      <c r="P22" s="17">
        <f t="shared" si="4"/>
        <v>0.75</v>
      </c>
    </row>
    <row r="23" spans="1:16" x14ac:dyDescent="0.3">
      <c r="A23" t="s">
        <v>28</v>
      </c>
      <c r="B23">
        <v>26</v>
      </c>
      <c r="C23">
        <v>29</v>
      </c>
      <c r="D23">
        <v>89.7</v>
      </c>
      <c r="E23" s="20" t="s">
        <v>141</v>
      </c>
      <c r="F23" s="20" t="s">
        <v>146</v>
      </c>
      <c r="G23" s="20" t="s">
        <v>159</v>
      </c>
      <c r="H23" s="20" t="s">
        <v>184</v>
      </c>
      <c r="I23" s="20" t="s">
        <v>164</v>
      </c>
      <c r="J23">
        <v>57</v>
      </c>
      <c r="K23">
        <v>1</v>
      </c>
      <c r="L23" s="17">
        <f t="shared" si="0"/>
        <v>1</v>
      </c>
      <c r="M23" s="17">
        <f t="shared" si="1"/>
        <v>1</v>
      </c>
      <c r="N23" s="17">
        <f t="shared" si="2"/>
        <v>1</v>
      </c>
      <c r="O23" s="17">
        <f t="shared" si="3"/>
        <v>0.90909090909090906</v>
      </c>
      <c r="P23" s="17">
        <f t="shared" si="4"/>
        <v>0.6</v>
      </c>
    </row>
    <row r="24" spans="1:16" x14ac:dyDescent="0.3">
      <c r="A24" t="s">
        <v>5</v>
      </c>
      <c r="B24">
        <v>36</v>
      </c>
      <c r="C24">
        <v>39</v>
      </c>
      <c r="D24">
        <v>92.3</v>
      </c>
      <c r="E24" s="20" t="s">
        <v>141</v>
      </c>
      <c r="F24" s="20" t="s">
        <v>150</v>
      </c>
      <c r="G24" s="20" t="s">
        <v>162</v>
      </c>
      <c r="H24" s="20" t="s">
        <v>162</v>
      </c>
      <c r="I24" s="20" t="s">
        <v>181</v>
      </c>
      <c r="J24">
        <v>53</v>
      </c>
      <c r="K24">
        <v>0</v>
      </c>
      <c r="L24" s="17">
        <f t="shared" si="0"/>
        <v>1</v>
      </c>
      <c r="M24" s="17">
        <f t="shared" si="1"/>
        <v>1</v>
      </c>
      <c r="N24" s="17">
        <f t="shared" si="2"/>
        <v>1</v>
      </c>
      <c r="O24" s="17">
        <f t="shared" si="3"/>
        <v>1</v>
      </c>
      <c r="P24" s="17">
        <f t="shared" si="4"/>
        <v>0.625</v>
      </c>
    </row>
    <row r="25" spans="1:16" x14ac:dyDescent="0.3">
      <c r="A25" t="s">
        <v>17</v>
      </c>
      <c r="B25">
        <v>40</v>
      </c>
      <c r="C25">
        <v>43</v>
      </c>
      <c r="D25">
        <v>93</v>
      </c>
      <c r="E25" s="20" t="s">
        <v>141</v>
      </c>
      <c r="F25" s="20" t="s">
        <v>184</v>
      </c>
      <c r="G25" s="20" t="s">
        <v>185</v>
      </c>
      <c r="H25" s="20" t="s">
        <v>179</v>
      </c>
      <c r="I25" s="20" t="s">
        <v>176</v>
      </c>
      <c r="J25">
        <v>56</v>
      </c>
      <c r="K25">
        <v>0</v>
      </c>
      <c r="L25" s="17">
        <f t="shared" si="0"/>
        <v>1</v>
      </c>
      <c r="M25" s="17">
        <f t="shared" si="1"/>
        <v>0.90909090909090906</v>
      </c>
      <c r="N25" s="17">
        <f t="shared" si="2"/>
        <v>1</v>
      </c>
      <c r="O25" s="17">
        <f t="shared" si="3"/>
        <v>0.92307692307692313</v>
      </c>
      <c r="P25" s="17">
        <f t="shared" si="4"/>
        <v>0.8571428571428571</v>
      </c>
    </row>
    <row r="26" spans="1:16" x14ac:dyDescent="0.3">
      <c r="A26" t="s">
        <v>7</v>
      </c>
      <c r="B26">
        <v>32</v>
      </c>
      <c r="C26">
        <v>34</v>
      </c>
      <c r="D26">
        <v>94.1</v>
      </c>
      <c r="E26" s="20" t="s">
        <v>141</v>
      </c>
      <c r="F26" s="20" t="s">
        <v>143</v>
      </c>
      <c r="G26" s="20" t="s">
        <v>153</v>
      </c>
      <c r="H26" s="20" t="s">
        <v>154</v>
      </c>
      <c r="I26" s="20" t="s">
        <v>155</v>
      </c>
      <c r="J26">
        <v>55</v>
      </c>
      <c r="K26">
        <v>0</v>
      </c>
      <c r="L26" s="17">
        <f t="shared" si="0"/>
        <v>1</v>
      </c>
      <c r="M26" s="17">
        <f t="shared" si="1"/>
        <v>1</v>
      </c>
      <c r="N26" s="17">
        <f t="shared" si="2"/>
        <v>1</v>
      </c>
      <c r="O26" s="17">
        <f t="shared" si="3"/>
        <v>0.875</v>
      </c>
      <c r="P26" s="17">
        <f t="shared" si="4"/>
        <v>0.8</v>
      </c>
    </row>
    <row r="27" spans="1:16" x14ac:dyDescent="0.3">
      <c r="A27" t="s">
        <v>16</v>
      </c>
      <c r="B27">
        <v>35</v>
      </c>
      <c r="C27">
        <v>37</v>
      </c>
      <c r="D27">
        <v>94.6</v>
      </c>
      <c r="E27" s="20" t="s">
        <v>141</v>
      </c>
      <c r="F27" s="20" t="s">
        <v>142</v>
      </c>
      <c r="G27" s="20" t="s">
        <v>150</v>
      </c>
      <c r="H27" s="20" t="s">
        <v>170</v>
      </c>
      <c r="I27" s="20" t="s">
        <v>143</v>
      </c>
      <c r="J27">
        <v>66</v>
      </c>
      <c r="K27">
        <v>0</v>
      </c>
      <c r="L27" s="17">
        <f t="shared" si="0"/>
        <v>1</v>
      </c>
      <c r="M27" s="17">
        <f t="shared" si="1"/>
        <v>1</v>
      </c>
      <c r="N27" s="17">
        <f t="shared" si="2"/>
        <v>1</v>
      </c>
      <c r="O27" s="17">
        <f t="shared" si="3"/>
        <v>0.8666666666666667</v>
      </c>
      <c r="P27" s="17">
        <f t="shared" si="4"/>
        <v>1</v>
      </c>
    </row>
    <row r="28" spans="1:16" x14ac:dyDescent="0.3">
      <c r="A28" t="s">
        <v>18</v>
      </c>
      <c r="B28">
        <v>25</v>
      </c>
      <c r="C28">
        <v>30</v>
      </c>
      <c r="D28">
        <v>83.3</v>
      </c>
      <c r="E28" s="20" t="s">
        <v>141</v>
      </c>
      <c r="F28" s="20" t="s">
        <v>157</v>
      </c>
      <c r="G28" s="20" t="s">
        <v>148</v>
      </c>
      <c r="H28" s="20" t="s">
        <v>147</v>
      </c>
      <c r="I28" s="20" t="s">
        <v>182</v>
      </c>
      <c r="J28">
        <v>52</v>
      </c>
      <c r="K28">
        <v>0</v>
      </c>
      <c r="L28" s="17">
        <f t="shared" si="0"/>
        <v>1</v>
      </c>
      <c r="M28" s="17">
        <f t="shared" si="1"/>
        <v>1</v>
      </c>
      <c r="N28" s="17">
        <f t="shared" si="2"/>
        <v>0.84615384615384615</v>
      </c>
      <c r="O28" s="17">
        <f t="shared" si="3"/>
        <v>1</v>
      </c>
      <c r="P28" s="17">
        <f t="shared" si="4"/>
        <v>0.25</v>
      </c>
    </row>
    <row r="29" spans="1:16" x14ac:dyDescent="0.3">
      <c r="A29" t="s">
        <v>15</v>
      </c>
      <c r="B29">
        <v>17</v>
      </c>
      <c r="C29">
        <v>23</v>
      </c>
      <c r="D29">
        <v>73.900000000000006</v>
      </c>
      <c r="E29" s="20" t="s">
        <v>141</v>
      </c>
      <c r="F29" s="20" t="s">
        <v>186</v>
      </c>
      <c r="G29" s="20" t="s">
        <v>152</v>
      </c>
      <c r="H29" s="20" t="s">
        <v>164</v>
      </c>
      <c r="I29" s="20" t="s">
        <v>164</v>
      </c>
      <c r="J29">
        <v>53</v>
      </c>
      <c r="K29">
        <v>0</v>
      </c>
      <c r="L29" s="17">
        <f t="shared" si="0"/>
        <v>1</v>
      </c>
      <c r="M29" s="17">
        <f t="shared" si="1"/>
        <v>1</v>
      </c>
      <c r="N29" s="17">
        <f t="shared" si="2"/>
        <v>0.81818181818181823</v>
      </c>
      <c r="O29" s="17">
        <f t="shared" si="3"/>
        <v>0.6</v>
      </c>
      <c r="P29" s="17">
        <f t="shared" si="4"/>
        <v>0.6</v>
      </c>
    </row>
    <row r="30" spans="1:16" x14ac:dyDescent="0.3">
      <c r="A30" t="s">
        <v>20</v>
      </c>
      <c r="B30">
        <v>36</v>
      </c>
      <c r="C30">
        <v>40</v>
      </c>
      <c r="D30">
        <v>90</v>
      </c>
      <c r="E30" s="20" t="s">
        <v>141</v>
      </c>
      <c r="F30" s="20" t="s">
        <v>150</v>
      </c>
      <c r="G30" s="20" t="s">
        <v>166</v>
      </c>
      <c r="H30" s="20" t="s">
        <v>148</v>
      </c>
      <c r="I30" s="20" t="s">
        <v>166</v>
      </c>
      <c r="J30">
        <v>56</v>
      </c>
      <c r="K30">
        <v>0</v>
      </c>
      <c r="L30" s="17">
        <f t="shared" si="0"/>
        <v>1</v>
      </c>
      <c r="M30" s="17">
        <f t="shared" si="1"/>
        <v>1</v>
      </c>
      <c r="N30" s="17">
        <f t="shared" si="2"/>
        <v>0.88888888888888884</v>
      </c>
      <c r="O30" s="17">
        <f t="shared" si="3"/>
        <v>0.84615384615384615</v>
      </c>
      <c r="P30" s="17">
        <f t="shared" si="4"/>
        <v>0.88888888888888884</v>
      </c>
    </row>
    <row r="31" spans="1:16" x14ac:dyDescent="0.3">
      <c r="A31" t="s">
        <v>29</v>
      </c>
      <c r="B31">
        <v>21</v>
      </c>
      <c r="C31">
        <v>27</v>
      </c>
      <c r="D31">
        <v>77.8</v>
      </c>
      <c r="E31" s="20" t="s">
        <v>141</v>
      </c>
      <c r="F31" s="20" t="s">
        <v>142</v>
      </c>
      <c r="G31" s="20" t="s">
        <v>147</v>
      </c>
      <c r="H31" s="20" t="s">
        <v>187</v>
      </c>
      <c r="I31" s="20" t="s">
        <v>151</v>
      </c>
      <c r="J31">
        <v>61</v>
      </c>
      <c r="K31">
        <v>1</v>
      </c>
      <c r="L31" s="17">
        <f t="shared" si="0"/>
        <v>1</v>
      </c>
      <c r="M31" s="17">
        <f t="shared" si="1"/>
        <v>1</v>
      </c>
      <c r="N31" s="17">
        <f t="shared" si="2"/>
        <v>1</v>
      </c>
      <c r="O31" s="17">
        <f t="shared" si="3"/>
        <v>0.5</v>
      </c>
      <c r="P31" s="17">
        <f t="shared" si="4"/>
        <v>0.66666666666666663</v>
      </c>
    </row>
    <row r="32" spans="1:16" x14ac:dyDescent="0.3">
      <c r="A32" t="s">
        <v>14</v>
      </c>
      <c r="B32">
        <v>26</v>
      </c>
      <c r="C32">
        <v>32</v>
      </c>
      <c r="D32">
        <v>81.3</v>
      </c>
      <c r="E32" s="20" t="s">
        <v>141</v>
      </c>
      <c r="F32" s="20" t="s">
        <v>147</v>
      </c>
      <c r="G32" s="20" t="s">
        <v>185</v>
      </c>
      <c r="H32" s="20" t="s">
        <v>188</v>
      </c>
      <c r="I32" s="20" t="s">
        <v>165</v>
      </c>
      <c r="J32">
        <v>51</v>
      </c>
      <c r="K32">
        <v>0</v>
      </c>
      <c r="L32" s="17">
        <f t="shared" si="0"/>
        <v>1</v>
      </c>
      <c r="M32" s="17">
        <f t="shared" si="1"/>
        <v>1</v>
      </c>
      <c r="N32" s="17">
        <f t="shared" si="2"/>
        <v>1</v>
      </c>
      <c r="O32" s="17">
        <f t="shared" si="3"/>
        <v>0.5714285714285714</v>
      </c>
      <c r="P32" s="17">
        <f t="shared" si="4"/>
        <v>1</v>
      </c>
    </row>
    <row r="33" spans="1:16" x14ac:dyDescent="0.3">
      <c r="A33" t="s">
        <v>13</v>
      </c>
      <c r="B33">
        <v>33</v>
      </c>
      <c r="C33">
        <v>38</v>
      </c>
      <c r="D33">
        <v>86.8</v>
      </c>
      <c r="E33" s="20" t="s">
        <v>141</v>
      </c>
      <c r="F33" s="20" t="s">
        <v>157</v>
      </c>
      <c r="G33" s="20" t="s">
        <v>189</v>
      </c>
      <c r="H33" s="20" t="s">
        <v>169</v>
      </c>
      <c r="I33" s="20" t="s">
        <v>169</v>
      </c>
      <c r="J33">
        <v>55</v>
      </c>
      <c r="K33">
        <v>0</v>
      </c>
      <c r="L33" s="17">
        <f t="shared" si="0"/>
        <v>1</v>
      </c>
      <c r="M33" s="17">
        <f t="shared" si="1"/>
        <v>1</v>
      </c>
      <c r="N33" s="17">
        <f t="shared" si="2"/>
        <v>0.91666666666666663</v>
      </c>
      <c r="O33" s="17">
        <f t="shared" si="3"/>
        <v>0.77777777777777779</v>
      </c>
      <c r="P33" s="17">
        <f t="shared" si="4"/>
        <v>0.77777777777777779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6A71E-AAB1-4EA8-A0B4-AF4C0D20B8BC}">
  <sheetPr codeName="Sheet7"/>
  <dimension ref="A1:P33"/>
  <sheetViews>
    <sheetView workbookViewId="0">
      <selection activeCell="Q2" sqref="Q2:Q33"/>
    </sheetView>
  </sheetViews>
  <sheetFormatPr defaultRowHeight="14.4" x14ac:dyDescent="0.3"/>
  <sheetData>
    <row r="1" spans="1:16" x14ac:dyDescent="0.3">
      <c r="A1" t="s">
        <v>201</v>
      </c>
      <c r="B1" t="s">
        <v>202</v>
      </c>
      <c r="C1" t="s">
        <v>203</v>
      </c>
      <c r="D1" t="s">
        <v>204</v>
      </c>
      <c r="E1" t="s">
        <v>69</v>
      </c>
      <c r="F1" t="s">
        <v>36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  <c r="N1" t="s">
        <v>44</v>
      </c>
      <c r="O1" t="s">
        <v>212</v>
      </c>
    </row>
    <row r="2" spans="1:16" x14ac:dyDescent="0.3">
      <c r="A2" t="s">
        <v>12</v>
      </c>
      <c r="B2">
        <v>40.700000000000003</v>
      </c>
      <c r="C2">
        <v>2400</v>
      </c>
      <c r="D2">
        <v>59</v>
      </c>
      <c r="E2">
        <v>45</v>
      </c>
      <c r="F2">
        <v>67</v>
      </c>
      <c r="G2">
        <v>2656</v>
      </c>
      <c r="H2">
        <v>22</v>
      </c>
      <c r="I2">
        <v>7</v>
      </c>
      <c r="J2">
        <v>11</v>
      </c>
      <c r="K2">
        <v>5</v>
      </c>
      <c r="L2">
        <v>16</v>
      </c>
      <c r="M2">
        <v>20</v>
      </c>
      <c r="N2">
        <v>156</v>
      </c>
      <c r="O2">
        <v>0</v>
      </c>
      <c r="P2">
        <v>0</v>
      </c>
    </row>
    <row r="3" spans="1:16" x14ac:dyDescent="0.3">
      <c r="A3" t="s">
        <v>26</v>
      </c>
      <c r="B3">
        <v>38.5</v>
      </c>
      <c r="C3">
        <v>2390</v>
      </c>
      <c r="D3">
        <v>62</v>
      </c>
      <c r="E3">
        <v>46.2</v>
      </c>
      <c r="F3">
        <v>72</v>
      </c>
      <c r="G3">
        <v>2865</v>
      </c>
      <c r="H3">
        <v>19</v>
      </c>
      <c r="I3">
        <v>3</v>
      </c>
      <c r="J3">
        <v>7</v>
      </c>
      <c r="K3">
        <v>5</v>
      </c>
      <c r="L3">
        <v>13</v>
      </c>
      <c r="M3">
        <v>34</v>
      </c>
      <c r="N3">
        <v>375</v>
      </c>
      <c r="O3">
        <v>0</v>
      </c>
      <c r="P3">
        <v>0</v>
      </c>
    </row>
    <row r="4" spans="1:16" x14ac:dyDescent="0.3">
      <c r="A4" t="s">
        <v>6</v>
      </c>
      <c r="B4">
        <v>41</v>
      </c>
      <c r="C4">
        <v>2709</v>
      </c>
      <c r="D4">
        <v>66</v>
      </c>
      <c r="E4">
        <v>46.4</v>
      </c>
      <c r="F4">
        <v>61</v>
      </c>
      <c r="G4">
        <v>3064</v>
      </c>
      <c r="H4">
        <v>22</v>
      </c>
      <c r="I4">
        <v>10</v>
      </c>
      <c r="J4">
        <v>7</v>
      </c>
      <c r="K4">
        <v>6</v>
      </c>
      <c r="L4">
        <v>15</v>
      </c>
      <c r="M4">
        <v>28</v>
      </c>
      <c r="N4">
        <v>235</v>
      </c>
      <c r="O4">
        <v>0</v>
      </c>
      <c r="P4">
        <v>0</v>
      </c>
    </row>
    <row r="5" spans="1:16" x14ac:dyDescent="0.3">
      <c r="A5" t="s">
        <v>2</v>
      </c>
      <c r="B5">
        <v>37.6</v>
      </c>
      <c r="C5">
        <v>1994</v>
      </c>
      <c r="D5">
        <v>52</v>
      </c>
      <c r="E5">
        <v>42.1</v>
      </c>
      <c r="F5">
        <v>63</v>
      </c>
      <c r="G5">
        <v>2230</v>
      </c>
      <c r="H5">
        <v>18</v>
      </c>
      <c r="I5">
        <v>8</v>
      </c>
      <c r="J5">
        <v>9</v>
      </c>
      <c r="K5">
        <v>7</v>
      </c>
      <c r="L5">
        <v>11</v>
      </c>
      <c r="M5">
        <v>17</v>
      </c>
      <c r="N5">
        <v>96</v>
      </c>
      <c r="O5">
        <v>0</v>
      </c>
      <c r="P5">
        <v>1</v>
      </c>
    </row>
    <row r="6" spans="1:16" x14ac:dyDescent="0.3">
      <c r="A6" t="s">
        <v>22</v>
      </c>
      <c r="B6">
        <v>42.8</v>
      </c>
      <c r="C6">
        <v>2869</v>
      </c>
      <c r="D6">
        <v>67</v>
      </c>
      <c r="E6">
        <v>46</v>
      </c>
      <c r="F6">
        <v>68</v>
      </c>
      <c r="G6">
        <v>3083</v>
      </c>
      <c r="H6">
        <v>28</v>
      </c>
      <c r="I6">
        <v>9</v>
      </c>
      <c r="J6">
        <v>7</v>
      </c>
      <c r="K6">
        <v>3</v>
      </c>
      <c r="L6">
        <v>24</v>
      </c>
      <c r="M6">
        <v>24</v>
      </c>
      <c r="N6">
        <v>154</v>
      </c>
      <c r="O6">
        <v>0</v>
      </c>
      <c r="P6">
        <v>0</v>
      </c>
    </row>
    <row r="7" spans="1:16" x14ac:dyDescent="0.3">
      <c r="A7" t="s">
        <v>19</v>
      </c>
      <c r="B7">
        <v>38.299999999999997</v>
      </c>
      <c r="C7">
        <v>2563</v>
      </c>
      <c r="D7">
        <v>67</v>
      </c>
      <c r="E7">
        <v>43</v>
      </c>
      <c r="F7">
        <v>65</v>
      </c>
      <c r="G7">
        <v>2880</v>
      </c>
      <c r="H7">
        <v>21</v>
      </c>
      <c r="I7">
        <v>13</v>
      </c>
      <c r="J7">
        <v>6</v>
      </c>
      <c r="K7">
        <v>3</v>
      </c>
      <c r="L7">
        <v>15</v>
      </c>
      <c r="M7">
        <v>30</v>
      </c>
      <c r="N7">
        <v>257</v>
      </c>
      <c r="O7">
        <v>0</v>
      </c>
      <c r="P7">
        <v>0</v>
      </c>
    </row>
    <row r="8" spans="1:16" x14ac:dyDescent="0.3">
      <c r="A8" t="s">
        <v>1</v>
      </c>
      <c r="B8">
        <v>38.4</v>
      </c>
      <c r="C8">
        <v>2381</v>
      </c>
      <c r="D8">
        <v>62</v>
      </c>
      <c r="E8">
        <v>42</v>
      </c>
      <c r="F8">
        <v>65</v>
      </c>
      <c r="G8">
        <v>2605</v>
      </c>
      <c r="H8">
        <v>26</v>
      </c>
      <c r="I8">
        <v>8</v>
      </c>
      <c r="J8">
        <v>8</v>
      </c>
      <c r="K8">
        <v>2</v>
      </c>
      <c r="L8">
        <v>21</v>
      </c>
      <c r="M8">
        <v>23</v>
      </c>
      <c r="N8">
        <v>184</v>
      </c>
      <c r="O8">
        <v>0</v>
      </c>
      <c r="P8">
        <v>0</v>
      </c>
    </row>
    <row r="9" spans="1:16" x14ac:dyDescent="0.3">
      <c r="A9" t="s">
        <v>10</v>
      </c>
      <c r="B9">
        <v>41.8</v>
      </c>
      <c r="C9">
        <v>2175</v>
      </c>
      <c r="D9">
        <v>52</v>
      </c>
      <c r="E9">
        <v>48.8</v>
      </c>
      <c r="F9">
        <v>62</v>
      </c>
      <c r="G9">
        <v>2540</v>
      </c>
      <c r="H9">
        <v>12</v>
      </c>
      <c r="I9">
        <v>4</v>
      </c>
      <c r="J9">
        <v>5</v>
      </c>
      <c r="K9">
        <v>5</v>
      </c>
      <c r="L9">
        <v>8</v>
      </c>
      <c r="M9">
        <v>30</v>
      </c>
      <c r="N9">
        <v>265</v>
      </c>
      <c r="O9">
        <v>0</v>
      </c>
      <c r="P9">
        <v>0</v>
      </c>
    </row>
    <row r="10" spans="1:16" x14ac:dyDescent="0.3">
      <c r="A10" t="s">
        <v>4</v>
      </c>
      <c r="B10">
        <v>36.5</v>
      </c>
      <c r="C10">
        <v>1754</v>
      </c>
      <c r="D10">
        <v>47</v>
      </c>
      <c r="E10">
        <v>44.2</v>
      </c>
      <c r="F10">
        <v>69</v>
      </c>
      <c r="G10">
        <v>2123</v>
      </c>
      <c r="H10">
        <v>12</v>
      </c>
      <c r="I10">
        <v>6</v>
      </c>
      <c r="J10">
        <v>4</v>
      </c>
      <c r="K10">
        <v>2</v>
      </c>
      <c r="L10">
        <v>5</v>
      </c>
      <c r="M10">
        <v>30</v>
      </c>
      <c r="N10">
        <v>329</v>
      </c>
      <c r="O10">
        <v>0</v>
      </c>
      <c r="P10">
        <v>1</v>
      </c>
    </row>
    <row r="11" spans="1:16" x14ac:dyDescent="0.3">
      <c r="A11" t="s">
        <v>3</v>
      </c>
      <c r="B11">
        <v>43.1</v>
      </c>
      <c r="C11">
        <v>1724</v>
      </c>
      <c r="D11">
        <v>40</v>
      </c>
      <c r="E11">
        <v>46.7</v>
      </c>
      <c r="F11">
        <v>68</v>
      </c>
      <c r="G11">
        <v>1868</v>
      </c>
      <c r="H11">
        <v>21</v>
      </c>
      <c r="I11">
        <v>5</v>
      </c>
      <c r="J11">
        <v>6</v>
      </c>
      <c r="K11">
        <v>3</v>
      </c>
      <c r="L11">
        <v>9</v>
      </c>
      <c r="M11">
        <v>17</v>
      </c>
      <c r="N11">
        <v>84</v>
      </c>
      <c r="O11">
        <v>0</v>
      </c>
      <c r="P11">
        <v>0</v>
      </c>
    </row>
    <row r="12" spans="1:16" x14ac:dyDescent="0.3">
      <c r="A12" t="s">
        <v>8</v>
      </c>
      <c r="B12">
        <v>39.700000000000003</v>
      </c>
      <c r="C12">
        <v>2340</v>
      </c>
      <c r="D12">
        <v>59</v>
      </c>
      <c r="E12">
        <v>44.5</v>
      </c>
      <c r="F12">
        <v>79</v>
      </c>
      <c r="G12">
        <v>2627</v>
      </c>
      <c r="H12">
        <v>24</v>
      </c>
      <c r="I12">
        <v>7</v>
      </c>
      <c r="J12">
        <v>8</v>
      </c>
      <c r="K12">
        <v>1</v>
      </c>
      <c r="L12">
        <v>15</v>
      </c>
      <c r="M12">
        <v>28</v>
      </c>
      <c r="N12">
        <v>267</v>
      </c>
      <c r="O12">
        <v>0</v>
      </c>
      <c r="P12">
        <v>0</v>
      </c>
    </row>
    <row r="13" spans="1:16" x14ac:dyDescent="0.3">
      <c r="A13" t="s">
        <v>0</v>
      </c>
      <c r="B13">
        <v>44.6</v>
      </c>
      <c r="C13">
        <v>2900</v>
      </c>
      <c r="D13">
        <v>65</v>
      </c>
      <c r="E13">
        <v>48.4</v>
      </c>
      <c r="F13">
        <v>63</v>
      </c>
      <c r="G13">
        <v>3143</v>
      </c>
      <c r="H13">
        <v>24</v>
      </c>
      <c r="I13">
        <v>5</v>
      </c>
      <c r="J13">
        <v>7</v>
      </c>
      <c r="K13">
        <v>4</v>
      </c>
      <c r="L13">
        <v>24</v>
      </c>
      <c r="M13">
        <v>25</v>
      </c>
      <c r="N13">
        <v>163</v>
      </c>
      <c r="O13">
        <v>0</v>
      </c>
      <c r="P13">
        <v>0</v>
      </c>
    </row>
    <row r="14" spans="1:16" x14ac:dyDescent="0.3">
      <c r="A14" t="s">
        <v>21</v>
      </c>
      <c r="B14">
        <v>40.1</v>
      </c>
      <c r="C14">
        <v>3127</v>
      </c>
      <c r="D14">
        <v>78</v>
      </c>
      <c r="E14">
        <v>44.7</v>
      </c>
      <c r="F14">
        <v>65</v>
      </c>
      <c r="G14">
        <v>3489</v>
      </c>
      <c r="H14">
        <v>31</v>
      </c>
      <c r="I14">
        <v>4</v>
      </c>
      <c r="J14">
        <v>12</v>
      </c>
      <c r="K14">
        <v>5</v>
      </c>
      <c r="L14">
        <v>27</v>
      </c>
      <c r="M14">
        <v>30</v>
      </c>
      <c r="N14">
        <v>262</v>
      </c>
      <c r="O14">
        <v>0</v>
      </c>
      <c r="P14">
        <v>0</v>
      </c>
    </row>
    <row r="15" spans="1:16" x14ac:dyDescent="0.3">
      <c r="A15" t="s">
        <v>11</v>
      </c>
      <c r="B15">
        <v>38.700000000000003</v>
      </c>
      <c r="C15">
        <v>2131</v>
      </c>
      <c r="D15">
        <v>55</v>
      </c>
      <c r="E15">
        <v>43.9</v>
      </c>
      <c r="F15">
        <v>68</v>
      </c>
      <c r="G15">
        <v>2416</v>
      </c>
      <c r="H15">
        <v>17</v>
      </c>
      <c r="I15">
        <v>6</v>
      </c>
      <c r="J15">
        <v>10</v>
      </c>
      <c r="K15">
        <v>3</v>
      </c>
      <c r="L15">
        <v>12</v>
      </c>
      <c r="M15">
        <v>24</v>
      </c>
      <c r="N15">
        <v>225</v>
      </c>
      <c r="O15">
        <v>0</v>
      </c>
      <c r="P15">
        <v>0</v>
      </c>
    </row>
    <row r="16" spans="1:16" x14ac:dyDescent="0.3">
      <c r="A16" t="s">
        <v>25</v>
      </c>
      <c r="B16">
        <v>40.299999999999997</v>
      </c>
      <c r="C16">
        <v>2663</v>
      </c>
      <c r="D16">
        <v>65</v>
      </c>
      <c r="E16">
        <v>45.4</v>
      </c>
      <c r="F16">
        <v>66</v>
      </c>
      <c r="G16">
        <v>2998</v>
      </c>
      <c r="H16">
        <v>24</v>
      </c>
      <c r="I16">
        <v>9</v>
      </c>
      <c r="J16">
        <v>8</v>
      </c>
      <c r="K16">
        <v>5</v>
      </c>
      <c r="L16">
        <v>17</v>
      </c>
      <c r="M16">
        <v>26</v>
      </c>
      <c r="N16">
        <v>235</v>
      </c>
      <c r="O16">
        <v>0</v>
      </c>
      <c r="P16">
        <v>1</v>
      </c>
    </row>
    <row r="17" spans="1:16" x14ac:dyDescent="0.3">
      <c r="A17" t="s">
        <v>23</v>
      </c>
      <c r="B17">
        <v>41.3</v>
      </c>
      <c r="C17">
        <v>2601</v>
      </c>
      <c r="D17">
        <v>62</v>
      </c>
      <c r="E17">
        <v>47.4</v>
      </c>
      <c r="F17">
        <v>66</v>
      </c>
      <c r="G17">
        <v>2985</v>
      </c>
      <c r="H17">
        <v>22</v>
      </c>
      <c r="I17">
        <v>5</v>
      </c>
      <c r="J17">
        <v>8</v>
      </c>
      <c r="K17">
        <v>7</v>
      </c>
      <c r="L17">
        <v>15</v>
      </c>
      <c r="M17">
        <v>27</v>
      </c>
      <c r="N17">
        <v>244</v>
      </c>
      <c r="O17">
        <v>0</v>
      </c>
      <c r="P17">
        <v>1</v>
      </c>
    </row>
    <row r="18" spans="1:16" x14ac:dyDescent="0.3">
      <c r="A18" t="s">
        <v>9</v>
      </c>
      <c r="B18">
        <v>39.5</v>
      </c>
      <c r="C18">
        <v>2926</v>
      </c>
      <c r="D18">
        <v>74</v>
      </c>
      <c r="E18">
        <v>44.4</v>
      </c>
      <c r="F18">
        <v>63</v>
      </c>
      <c r="G18">
        <v>3283</v>
      </c>
      <c r="H18">
        <v>24</v>
      </c>
      <c r="I18">
        <v>8</v>
      </c>
      <c r="J18">
        <v>17</v>
      </c>
      <c r="K18">
        <v>6</v>
      </c>
      <c r="L18">
        <v>15</v>
      </c>
      <c r="M18">
        <v>28</v>
      </c>
      <c r="N18">
        <v>237</v>
      </c>
      <c r="O18">
        <v>0</v>
      </c>
      <c r="P18">
        <v>0</v>
      </c>
    </row>
    <row r="19" spans="1:16" x14ac:dyDescent="0.3">
      <c r="A19" t="s">
        <v>31</v>
      </c>
      <c r="B19">
        <v>43.3</v>
      </c>
      <c r="C19">
        <v>3117</v>
      </c>
      <c r="D19">
        <v>71</v>
      </c>
      <c r="E19">
        <v>46.3</v>
      </c>
      <c r="F19">
        <v>68</v>
      </c>
      <c r="G19">
        <v>3337</v>
      </c>
      <c r="H19">
        <v>28</v>
      </c>
      <c r="I19">
        <v>9</v>
      </c>
      <c r="J19">
        <v>8</v>
      </c>
      <c r="K19">
        <v>2</v>
      </c>
      <c r="L19">
        <v>30</v>
      </c>
      <c r="M19">
        <v>22</v>
      </c>
      <c r="N19">
        <v>180</v>
      </c>
      <c r="O19">
        <v>0</v>
      </c>
      <c r="P19">
        <v>1</v>
      </c>
    </row>
    <row r="20" spans="1:16" x14ac:dyDescent="0.3">
      <c r="A20" t="s">
        <v>27</v>
      </c>
      <c r="B20">
        <v>41.5</v>
      </c>
      <c r="C20">
        <v>2948</v>
      </c>
      <c r="D20">
        <v>70</v>
      </c>
      <c r="E20">
        <v>46.1</v>
      </c>
      <c r="F20">
        <v>65</v>
      </c>
      <c r="G20">
        <v>3274</v>
      </c>
      <c r="H20">
        <v>23</v>
      </c>
      <c r="I20">
        <v>12</v>
      </c>
      <c r="J20">
        <v>11</v>
      </c>
      <c r="K20">
        <v>1</v>
      </c>
      <c r="L20">
        <v>17</v>
      </c>
      <c r="M20">
        <v>29</v>
      </c>
      <c r="N20">
        <v>306</v>
      </c>
      <c r="O20">
        <v>0</v>
      </c>
      <c r="P20">
        <v>1</v>
      </c>
    </row>
    <row r="21" spans="1:16" x14ac:dyDescent="0.3">
      <c r="A21" t="s">
        <v>30</v>
      </c>
      <c r="B21">
        <v>42.3</v>
      </c>
      <c r="C21">
        <v>2750</v>
      </c>
      <c r="D21">
        <v>65</v>
      </c>
      <c r="E21">
        <v>49.2</v>
      </c>
      <c r="F21">
        <v>70</v>
      </c>
      <c r="G21">
        <v>3198</v>
      </c>
      <c r="H21">
        <v>17</v>
      </c>
      <c r="I21">
        <v>2</v>
      </c>
      <c r="J21">
        <v>11</v>
      </c>
      <c r="K21">
        <v>7</v>
      </c>
      <c r="L21">
        <v>10</v>
      </c>
      <c r="M21">
        <v>35</v>
      </c>
      <c r="N21">
        <v>308</v>
      </c>
      <c r="O21">
        <v>0</v>
      </c>
      <c r="P21">
        <v>0</v>
      </c>
    </row>
    <row r="22" spans="1:16" x14ac:dyDescent="0.3">
      <c r="A22" t="s">
        <v>24</v>
      </c>
      <c r="B22">
        <v>40</v>
      </c>
      <c r="C22">
        <v>2119</v>
      </c>
      <c r="D22">
        <v>53</v>
      </c>
      <c r="E22">
        <v>46.5</v>
      </c>
      <c r="F22">
        <v>82</v>
      </c>
      <c r="G22">
        <v>2467</v>
      </c>
      <c r="H22">
        <v>18</v>
      </c>
      <c r="I22">
        <v>9</v>
      </c>
      <c r="J22">
        <v>7</v>
      </c>
      <c r="K22">
        <v>4</v>
      </c>
      <c r="L22">
        <v>12</v>
      </c>
      <c r="M22">
        <v>21</v>
      </c>
      <c r="N22">
        <v>268</v>
      </c>
      <c r="O22">
        <v>1</v>
      </c>
      <c r="P22">
        <v>0</v>
      </c>
    </row>
    <row r="23" spans="1:16" x14ac:dyDescent="0.3">
      <c r="A23" t="s">
        <v>28</v>
      </c>
      <c r="B23">
        <v>38.299999999999997</v>
      </c>
      <c r="C23">
        <v>2872</v>
      </c>
      <c r="D23">
        <v>73</v>
      </c>
      <c r="E23">
        <v>42.5</v>
      </c>
      <c r="F23">
        <v>62</v>
      </c>
      <c r="G23">
        <v>3184</v>
      </c>
      <c r="H23">
        <v>19</v>
      </c>
      <c r="I23">
        <v>4</v>
      </c>
      <c r="J23">
        <v>7</v>
      </c>
      <c r="K23">
        <v>3</v>
      </c>
      <c r="L23">
        <v>25</v>
      </c>
      <c r="M23">
        <v>34</v>
      </c>
      <c r="N23">
        <v>252</v>
      </c>
      <c r="O23">
        <v>0</v>
      </c>
      <c r="P23">
        <v>2</v>
      </c>
    </row>
    <row r="24" spans="1:16" x14ac:dyDescent="0.3">
      <c r="A24" t="s">
        <v>5</v>
      </c>
      <c r="B24">
        <v>39.6</v>
      </c>
      <c r="C24">
        <v>2058</v>
      </c>
      <c r="D24">
        <v>49</v>
      </c>
      <c r="E24">
        <v>44.5</v>
      </c>
      <c r="F24">
        <v>71</v>
      </c>
      <c r="G24">
        <v>2316</v>
      </c>
      <c r="H24">
        <v>23</v>
      </c>
      <c r="I24">
        <v>8</v>
      </c>
      <c r="J24">
        <v>6</v>
      </c>
      <c r="K24">
        <v>6</v>
      </c>
      <c r="L24">
        <v>13</v>
      </c>
      <c r="M24">
        <v>16</v>
      </c>
      <c r="N24">
        <v>138</v>
      </c>
      <c r="O24">
        <v>0</v>
      </c>
      <c r="P24">
        <v>3</v>
      </c>
    </row>
    <row r="25" spans="1:16" x14ac:dyDescent="0.3">
      <c r="A25" t="s">
        <v>17</v>
      </c>
      <c r="B25">
        <v>42.5</v>
      </c>
      <c r="C25">
        <v>2721</v>
      </c>
      <c r="D25">
        <v>64</v>
      </c>
      <c r="E25">
        <v>50</v>
      </c>
      <c r="F25">
        <v>71</v>
      </c>
      <c r="G25">
        <v>3202</v>
      </c>
      <c r="H25">
        <v>28</v>
      </c>
      <c r="I25">
        <v>7</v>
      </c>
      <c r="J25">
        <v>5</v>
      </c>
      <c r="K25">
        <v>7</v>
      </c>
      <c r="L25">
        <v>17</v>
      </c>
      <c r="M25">
        <v>28</v>
      </c>
      <c r="N25">
        <v>341</v>
      </c>
      <c r="O25">
        <v>0</v>
      </c>
      <c r="P25">
        <v>0</v>
      </c>
    </row>
    <row r="26" spans="1:16" x14ac:dyDescent="0.3">
      <c r="A26" t="s">
        <v>7</v>
      </c>
      <c r="B26">
        <v>42.6</v>
      </c>
      <c r="C26">
        <v>2172</v>
      </c>
      <c r="D26">
        <v>51</v>
      </c>
      <c r="E26">
        <v>44.2</v>
      </c>
      <c r="F26">
        <v>59</v>
      </c>
      <c r="G26">
        <v>2252</v>
      </c>
      <c r="H26">
        <v>23</v>
      </c>
      <c r="I26">
        <v>8</v>
      </c>
      <c r="J26">
        <v>8</v>
      </c>
      <c r="K26">
        <v>1</v>
      </c>
      <c r="L26">
        <v>25</v>
      </c>
      <c r="M26">
        <v>9</v>
      </c>
      <c r="N26">
        <v>60</v>
      </c>
      <c r="O26">
        <v>0</v>
      </c>
      <c r="P26">
        <v>0</v>
      </c>
    </row>
    <row r="27" spans="1:16" x14ac:dyDescent="0.3">
      <c r="A27" t="s">
        <v>16</v>
      </c>
      <c r="B27">
        <v>40</v>
      </c>
      <c r="C27">
        <v>2841</v>
      </c>
      <c r="D27">
        <v>71</v>
      </c>
      <c r="E27">
        <v>44.4</v>
      </c>
      <c r="F27">
        <v>61</v>
      </c>
      <c r="G27">
        <v>3149</v>
      </c>
      <c r="H27">
        <v>26</v>
      </c>
      <c r="I27">
        <v>10</v>
      </c>
      <c r="J27">
        <v>10</v>
      </c>
      <c r="K27">
        <v>4</v>
      </c>
      <c r="L27">
        <v>16</v>
      </c>
      <c r="M27">
        <v>31</v>
      </c>
      <c r="N27">
        <v>228</v>
      </c>
      <c r="O27">
        <v>0</v>
      </c>
      <c r="P27">
        <v>0</v>
      </c>
    </row>
    <row r="28" spans="1:16" x14ac:dyDescent="0.3">
      <c r="A28" t="s">
        <v>18</v>
      </c>
      <c r="B28">
        <v>42</v>
      </c>
      <c r="C28">
        <v>3485</v>
      </c>
      <c r="D28">
        <v>83</v>
      </c>
      <c r="E28">
        <v>47.7</v>
      </c>
      <c r="F28">
        <v>63</v>
      </c>
      <c r="G28">
        <v>3956</v>
      </c>
      <c r="H28">
        <v>29</v>
      </c>
      <c r="I28">
        <v>7</v>
      </c>
      <c r="J28">
        <v>11</v>
      </c>
      <c r="K28">
        <v>4</v>
      </c>
      <c r="L28">
        <v>18</v>
      </c>
      <c r="M28">
        <v>43</v>
      </c>
      <c r="N28">
        <v>391</v>
      </c>
      <c r="O28">
        <v>0</v>
      </c>
      <c r="P28">
        <v>0</v>
      </c>
    </row>
    <row r="29" spans="1:16" x14ac:dyDescent="0.3">
      <c r="A29" t="s">
        <v>15</v>
      </c>
      <c r="B29">
        <v>41.7</v>
      </c>
      <c r="C29">
        <v>3461</v>
      </c>
      <c r="D29">
        <v>83</v>
      </c>
      <c r="E29">
        <v>46.9</v>
      </c>
      <c r="F29">
        <v>68</v>
      </c>
      <c r="G29">
        <v>3895</v>
      </c>
      <c r="H29">
        <v>40</v>
      </c>
      <c r="I29">
        <v>6</v>
      </c>
      <c r="J29">
        <v>13</v>
      </c>
      <c r="K29">
        <v>10</v>
      </c>
      <c r="L29">
        <v>22</v>
      </c>
      <c r="M29">
        <v>32</v>
      </c>
      <c r="N29">
        <v>234</v>
      </c>
      <c r="O29">
        <v>0</v>
      </c>
      <c r="P29">
        <v>0</v>
      </c>
    </row>
    <row r="30" spans="1:16" x14ac:dyDescent="0.3">
      <c r="A30" t="s">
        <v>20</v>
      </c>
      <c r="B30">
        <v>38.4</v>
      </c>
      <c r="C30">
        <v>2959</v>
      </c>
      <c r="D30">
        <v>77</v>
      </c>
      <c r="E30">
        <v>43.5</v>
      </c>
      <c r="F30">
        <v>64</v>
      </c>
      <c r="G30">
        <v>3347</v>
      </c>
      <c r="H30">
        <v>26</v>
      </c>
      <c r="I30">
        <v>15</v>
      </c>
      <c r="J30">
        <v>7</v>
      </c>
      <c r="K30">
        <v>4</v>
      </c>
      <c r="L30">
        <v>19</v>
      </c>
      <c r="M30">
        <v>32</v>
      </c>
      <c r="N30">
        <v>308</v>
      </c>
      <c r="O30">
        <v>0</v>
      </c>
      <c r="P30">
        <v>0</v>
      </c>
    </row>
    <row r="31" spans="1:16" x14ac:dyDescent="0.3">
      <c r="A31" t="s">
        <v>29</v>
      </c>
      <c r="B31">
        <v>41.7</v>
      </c>
      <c r="C31">
        <v>3673</v>
      </c>
      <c r="D31">
        <v>88</v>
      </c>
      <c r="E31">
        <v>46.7</v>
      </c>
      <c r="F31">
        <v>69</v>
      </c>
      <c r="G31">
        <v>4108</v>
      </c>
      <c r="H31">
        <v>37</v>
      </c>
      <c r="I31">
        <v>7</v>
      </c>
      <c r="J31">
        <v>10</v>
      </c>
      <c r="K31">
        <v>4</v>
      </c>
      <c r="L31">
        <v>22</v>
      </c>
      <c r="M31">
        <v>45</v>
      </c>
      <c r="N31">
        <v>355</v>
      </c>
      <c r="O31">
        <v>0</v>
      </c>
      <c r="P31">
        <v>0</v>
      </c>
    </row>
    <row r="32" spans="1:16" x14ac:dyDescent="0.3">
      <c r="A32" t="s">
        <v>14</v>
      </c>
      <c r="B32">
        <v>39.799999999999997</v>
      </c>
      <c r="C32">
        <v>2307</v>
      </c>
      <c r="D32">
        <v>58</v>
      </c>
      <c r="E32">
        <v>44.3</v>
      </c>
      <c r="F32">
        <v>63</v>
      </c>
      <c r="G32">
        <v>2570</v>
      </c>
      <c r="H32">
        <v>20</v>
      </c>
      <c r="I32">
        <v>11</v>
      </c>
      <c r="J32">
        <v>7</v>
      </c>
      <c r="K32">
        <v>2</v>
      </c>
      <c r="L32">
        <v>16</v>
      </c>
      <c r="M32">
        <v>22</v>
      </c>
      <c r="N32">
        <v>223</v>
      </c>
      <c r="O32">
        <v>0</v>
      </c>
      <c r="P32">
        <v>0</v>
      </c>
    </row>
    <row r="33" spans="1:16" x14ac:dyDescent="0.3">
      <c r="A33" t="s">
        <v>13</v>
      </c>
      <c r="B33">
        <v>40.799999999999997</v>
      </c>
      <c r="C33">
        <v>3225</v>
      </c>
      <c r="D33">
        <v>78</v>
      </c>
      <c r="E33">
        <v>45.9</v>
      </c>
      <c r="F33">
        <v>64</v>
      </c>
      <c r="G33">
        <v>3624</v>
      </c>
      <c r="H33">
        <v>26</v>
      </c>
      <c r="I33">
        <v>11</v>
      </c>
      <c r="J33">
        <v>10</v>
      </c>
      <c r="K33">
        <v>3</v>
      </c>
      <c r="L33">
        <v>15</v>
      </c>
      <c r="M33">
        <v>39</v>
      </c>
      <c r="N33">
        <v>339</v>
      </c>
      <c r="O33">
        <v>1</v>
      </c>
      <c r="P33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74F3-6ADF-4AA4-A2CD-4440ED213638}">
  <sheetPr codeName="Sheet3"/>
  <dimension ref="A1:G33"/>
  <sheetViews>
    <sheetView workbookViewId="0">
      <selection activeCell="E19" sqref="E19"/>
    </sheetView>
  </sheetViews>
  <sheetFormatPr defaultRowHeight="14.4" x14ac:dyDescent="0.3"/>
  <cols>
    <col min="1" max="1" width="25" bestFit="1" customWidth="1"/>
    <col min="2" max="2" width="17.44140625" bestFit="1" customWidth="1"/>
    <col min="3" max="5" width="16" customWidth="1"/>
    <col min="6" max="6" width="15.5546875" bestFit="1" customWidth="1"/>
    <col min="7" max="7" width="23.5546875" bestFit="1" customWidth="1"/>
  </cols>
  <sheetData>
    <row r="1" spans="1:7" x14ac:dyDescent="0.3">
      <c r="A1" t="s">
        <v>53</v>
      </c>
      <c r="B1" t="s">
        <v>54</v>
      </c>
      <c r="C1" t="s">
        <v>56</v>
      </c>
      <c r="D1" t="s">
        <v>57</v>
      </c>
      <c r="E1" t="s">
        <v>58</v>
      </c>
      <c r="F1" t="s">
        <v>55</v>
      </c>
      <c r="G1" t="s">
        <v>59</v>
      </c>
    </row>
    <row r="2" spans="1:7" x14ac:dyDescent="0.3">
      <c r="A2" t="s">
        <v>0</v>
      </c>
      <c r="B2" s="22">
        <f>1-F2</f>
        <v>0.66198419666374009</v>
      </c>
      <c r="C2" s="17">
        <f>Reference_Inputs!O2/Reference_Inputs!L2</f>
        <v>1.6415868673050615E-2</v>
      </c>
      <c r="D2" s="18">
        <f>Reference_Inputs!P2</f>
        <v>6.9</v>
      </c>
      <c r="E2" s="18">
        <v>5</v>
      </c>
      <c r="F2" s="17">
        <f>Reference_Inputs!R2/Reference_Inputs!F2</f>
        <v>0.33801580333625986</v>
      </c>
      <c r="G2" s="19">
        <f>Reference_Inputs!I2/Reference_Inputs!R2</f>
        <v>1.8181818181818181E-2</v>
      </c>
    </row>
    <row r="3" spans="1:7" x14ac:dyDescent="0.3">
      <c r="A3" t="s">
        <v>1</v>
      </c>
      <c r="B3" s="22">
        <f t="shared" ref="B3:B33" si="0">1-F3</f>
        <v>0.61992945326278659</v>
      </c>
      <c r="C3" s="17">
        <f>Reference_Inputs!O3/Reference_Inputs!L3</f>
        <v>1.9259259259259261E-2</v>
      </c>
      <c r="D3" s="18">
        <f>Reference_Inputs!P3</f>
        <v>6.8</v>
      </c>
      <c r="E3" s="18">
        <v>5</v>
      </c>
      <c r="F3" s="17">
        <f>Reference_Inputs!R3/Reference_Inputs!F3</f>
        <v>0.38007054673721341</v>
      </c>
      <c r="G3" s="19">
        <f>Reference_Inputs!I3/Reference_Inputs!R3</f>
        <v>2.7842227378190254E-2</v>
      </c>
    </row>
    <row r="4" spans="1:7" x14ac:dyDescent="0.3">
      <c r="A4" t="s">
        <v>2</v>
      </c>
      <c r="B4" s="22">
        <f t="shared" si="0"/>
        <v>0.625</v>
      </c>
      <c r="C4" s="17">
        <f>Reference_Inputs!O4/Reference_Inputs!L4</f>
        <v>2.2255192878338281E-2</v>
      </c>
      <c r="D4" s="18">
        <f>Reference_Inputs!P4</f>
        <v>6.8</v>
      </c>
      <c r="E4" s="18">
        <v>5</v>
      </c>
      <c r="F4" s="17">
        <f>Reference_Inputs!R4/Reference_Inputs!F4</f>
        <v>0.375</v>
      </c>
      <c r="G4" s="19">
        <f>Reference_Inputs!I4/Reference_Inputs!R4</f>
        <v>1.6548463356973995E-2</v>
      </c>
    </row>
    <row r="5" spans="1:7" x14ac:dyDescent="0.3">
      <c r="A5" t="s">
        <v>3</v>
      </c>
      <c r="B5" s="22">
        <f t="shared" si="0"/>
        <v>0.6307277628032345</v>
      </c>
      <c r="C5" s="17">
        <f>Reference_Inputs!O5/Reference_Inputs!L5</f>
        <v>1.6566265060240965E-2</v>
      </c>
      <c r="D5" s="18">
        <f>Reference_Inputs!P5</f>
        <v>5.4</v>
      </c>
      <c r="E5" s="18">
        <v>5</v>
      </c>
      <c r="F5" s="17">
        <f>Reference_Inputs!R5/Reference_Inputs!F5</f>
        <v>0.3692722371967655</v>
      </c>
      <c r="G5" s="19">
        <f>Reference_Inputs!I5/Reference_Inputs!R5</f>
        <v>2.1897810218978103E-2</v>
      </c>
    </row>
    <row r="6" spans="1:7" x14ac:dyDescent="0.3">
      <c r="A6" t="s">
        <v>4</v>
      </c>
      <c r="B6" s="22">
        <f t="shared" si="0"/>
        <v>0.59667541557305337</v>
      </c>
      <c r="C6" s="17">
        <f>Reference_Inputs!O6/Reference_Inputs!L6</f>
        <v>2.4427480916030534E-2</v>
      </c>
      <c r="D6" s="18">
        <f>Reference_Inputs!P6</f>
        <v>6.3</v>
      </c>
      <c r="E6" s="18">
        <v>5</v>
      </c>
      <c r="F6" s="17">
        <f>Reference_Inputs!R6/Reference_Inputs!F6</f>
        <v>0.40332458442694663</v>
      </c>
      <c r="G6" s="19">
        <f>Reference_Inputs!I6/Reference_Inputs!R6</f>
        <v>1.3015184381778741E-2</v>
      </c>
    </row>
    <row r="7" spans="1:7" x14ac:dyDescent="0.3">
      <c r="A7" t="s">
        <v>5</v>
      </c>
      <c r="B7" s="22">
        <f t="shared" si="0"/>
        <v>0.58976582827406765</v>
      </c>
      <c r="C7" s="17">
        <f>Reference_Inputs!O7/Reference_Inputs!L7</f>
        <v>1.7001545595054096E-2</v>
      </c>
      <c r="D7" s="18">
        <f>Reference_Inputs!P7</f>
        <v>7.1</v>
      </c>
      <c r="E7" s="18">
        <v>5</v>
      </c>
      <c r="F7" s="17">
        <f>Reference_Inputs!R7/Reference_Inputs!F7</f>
        <v>0.41023417172593235</v>
      </c>
      <c r="G7" s="19">
        <f>Reference_Inputs!I7/Reference_Inputs!R7</f>
        <v>1.9027484143763214E-2</v>
      </c>
    </row>
    <row r="8" spans="1:7" x14ac:dyDescent="0.3">
      <c r="A8" t="s">
        <v>6</v>
      </c>
      <c r="B8" s="22">
        <f t="shared" si="0"/>
        <v>0.61737523105360448</v>
      </c>
      <c r="C8" s="17">
        <f>Reference_Inputs!O8/Reference_Inputs!L8</f>
        <v>2.2292993630573247E-2</v>
      </c>
      <c r="D8" s="18">
        <f>Reference_Inputs!P8</f>
        <v>6.8</v>
      </c>
      <c r="E8" s="18">
        <v>5</v>
      </c>
      <c r="F8" s="17">
        <f>Reference_Inputs!R8/Reference_Inputs!F8</f>
        <v>0.38262476894639558</v>
      </c>
      <c r="G8" s="19">
        <f>Reference_Inputs!I8/Reference_Inputs!R8</f>
        <v>2.4154589371980676E-2</v>
      </c>
    </row>
    <row r="9" spans="1:7" x14ac:dyDescent="0.3">
      <c r="A9" t="s">
        <v>7</v>
      </c>
      <c r="B9" s="22">
        <f t="shared" si="0"/>
        <v>0.59708295350957163</v>
      </c>
      <c r="C9" s="17">
        <f>Reference_Inputs!O9/Reference_Inputs!L9</f>
        <v>2.2764227642276424E-2</v>
      </c>
      <c r="D9" s="18">
        <f>Reference_Inputs!P9</f>
        <v>5.6</v>
      </c>
      <c r="E9" s="18">
        <v>5</v>
      </c>
      <c r="F9" s="17">
        <f>Reference_Inputs!R9/Reference_Inputs!F9</f>
        <v>0.40291704649042842</v>
      </c>
      <c r="G9" s="19">
        <f>Reference_Inputs!I9/Reference_Inputs!R9</f>
        <v>2.7149321266968326E-2</v>
      </c>
    </row>
    <row r="10" spans="1:7" x14ac:dyDescent="0.3">
      <c r="A10" t="s">
        <v>8</v>
      </c>
      <c r="B10" s="22">
        <f t="shared" si="0"/>
        <v>0.56371308016877641</v>
      </c>
      <c r="C10" s="17">
        <f>Reference_Inputs!O10/Reference_Inputs!L10</f>
        <v>2.9459901800327332E-2</v>
      </c>
      <c r="D10" s="18">
        <f>Reference_Inputs!P10</f>
        <v>5.9</v>
      </c>
      <c r="E10" s="18">
        <v>5</v>
      </c>
      <c r="F10" s="17">
        <f>Reference_Inputs!R10/Reference_Inputs!F10</f>
        <v>0.43628691983122364</v>
      </c>
      <c r="G10" s="19">
        <f>Reference_Inputs!I10/Reference_Inputs!R10</f>
        <v>1.5473887814313346E-2</v>
      </c>
    </row>
    <row r="11" spans="1:7" x14ac:dyDescent="0.3">
      <c r="A11" t="s">
        <v>9</v>
      </c>
      <c r="B11" s="22">
        <f t="shared" si="0"/>
        <v>0.60302457466918713</v>
      </c>
      <c r="C11" s="17">
        <f>Reference_Inputs!O11/Reference_Inputs!L11</f>
        <v>2.9654036243822075E-2</v>
      </c>
      <c r="D11" s="18">
        <f>Reference_Inputs!P11</f>
        <v>7.3</v>
      </c>
      <c r="E11" s="18">
        <v>5</v>
      </c>
      <c r="F11" s="17">
        <f>Reference_Inputs!R11/Reference_Inputs!F11</f>
        <v>0.39697542533081287</v>
      </c>
      <c r="G11" s="19">
        <f>Reference_Inputs!I11/Reference_Inputs!R11</f>
        <v>1.1904761904761904E-2</v>
      </c>
    </row>
    <row r="12" spans="1:7" x14ac:dyDescent="0.3">
      <c r="A12" t="s">
        <v>10</v>
      </c>
      <c r="B12" s="22">
        <f t="shared" si="0"/>
        <v>0.5854108956602031</v>
      </c>
      <c r="C12" s="17">
        <f>Reference_Inputs!O12/Reference_Inputs!L12</f>
        <v>1.1589403973509934E-2</v>
      </c>
      <c r="D12" s="18">
        <f>Reference_Inputs!P12</f>
        <v>6.7</v>
      </c>
      <c r="E12" s="18">
        <v>5</v>
      </c>
      <c r="F12" s="17">
        <f>Reference_Inputs!R12/Reference_Inputs!F12</f>
        <v>0.41458910433979684</v>
      </c>
      <c r="G12" s="19">
        <f>Reference_Inputs!I12/Reference_Inputs!R12</f>
        <v>1.3363028953229399E-2</v>
      </c>
    </row>
    <row r="13" spans="1:7" x14ac:dyDescent="0.3">
      <c r="A13" t="s">
        <v>11</v>
      </c>
      <c r="B13" s="22">
        <f t="shared" si="0"/>
        <v>0.61867704280155644</v>
      </c>
      <c r="C13" s="17">
        <f>Reference_Inputs!O13/Reference_Inputs!L13</f>
        <v>2.8145695364238412E-2</v>
      </c>
      <c r="D13" s="18">
        <f>Reference_Inputs!P13</f>
        <v>5.4</v>
      </c>
      <c r="E13" s="18">
        <v>5</v>
      </c>
      <c r="F13" s="17">
        <f>Reference_Inputs!R13/Reference_Inputs!F13</f>
        <v>0.38132295719844356</v>
      </c>
      <c r="G13" s="19">
        <f>Reference_Inputs!I13/Reference_Inputs!R13</f>
        <v>3.0612244897959183E-2</v>
      </c>
    </row>
    <row r="14" spans="1:7" x14ac:dyDescent="0.3">
      <c r="A14" t="s">
        <v>12</v>
      </c>
      <c r="B14" s="22">
        <f t="shared" si="0"/>
        <v>0.63320463320463327</v>
      </c>
      <c r="C14" s="17">
        <f>Reference_Inputs!O14/Reference_Inputs!L14</f>
        <v>3.316749585406302E-2</v>
      </c>
      <c r="D14" s="18">
        <f>Reference_Inputs!P14</f>
        <v>5.4</v>
      </c>
      <c r="E14" s="18">
        <v>5</v>
      </c>
      <c r="F14" s="17">
        <f>Reference_Inputs!R14/Reference_Inputs!F14</f>
        <v>0.36679536679536678</v>
      </c>
      <c r="G14" s="19">
        <f>Reference_Inputs!I14/Reference_Inputs!R14</f>
        <v>1.8421052631578946E-2</v>
      </c>
    </row>
    <row r="15" spans="1:7" x14ac:dyDescent="0.3">
      <c r="A15" t="s">
        <v>13</v>
      </c>
      <c r="B15" s="22">
        <f t="shared" si="0"/>
        <v>0.58860759493670889</v>
      </c>
      <c r="C15" s="17">
        <f>Reference_Inputs!O15/Reference_Inputs!L15</f>
        <v>3.5058430717863104E-2</v>
      </c>
      <c r="D15" s="18">
        <f>Reference_Inputs!P15</f>
        <v>5</v>
      </c>
      <c r="E15" s="18">
        <v>5</v>
      </c>
      <c r="F15" s="17">
        <f>Reference_Inputs!R15/Reference_Inputs!F15</f>
        <v>0.41139240506329117</v>
      </c>
      <c r="G15" s="19">
        <f>Reference_Inputs!I15/Reference_Inputs!R15</f>
        <v>1.7582417582417582E-2</v>
      </c>
    </row>
    <row r="16" spans="1:7" x14ac:dyDescent="0.3">
      <c r="A16" t="s">
        <v>14</v>
      </c>
      <c r="B16" s="22">
        <f t="shared" si="0"/>
        <v>0.58395522388059695</v>
      </c>
      <c r="C16" s="17">
        <f>Reference_Inputs!O16/Reference_Inputs!L16</f>
        <v>1.1804384485666104E-2</v>
      </c>
      <c r="D16" s="18">
        <f>Reference_Inputs!P16</f>
        <v>6.9</v>
      </c>
      <c r="E16" s="18">
        <v>5</v>
      </c>
      <c r="F16" s="17">
        <f>Reference_Inputs!R16/Reference_Inputs!F16</f>
        <v>0.41604477611940299</v>
      </c>
      <c r="G16" s="19">
        <f>Reference_Inputs!I16/Reference_Inputs!R16</f>
        <v>1.3452914798206279E-2</v>
      </c>
    </row>
    <row r="17" spans="1:7" x14ac:dyDescent="0.3">
      <c r="A17" t="s">
        <v>15</v>
      </c>
      <c r="B17" s="22">
        <f t="shared" si="0"/>
        <v>0.59564393939393945</v>
      </c>
      <c r="C17" s="17">
        <f>Reference_Inputs!O17/Reference_Inputs!L17</f>
        <v>2.3608768971332208E-2</v>
      </c>
      <c r="D17" s="18">
        <f>Reference_Inputs!P17</f>
        <v>5.7</v>
      </c>
      <c r="E17" s="18">
        <v>5</v>
      </c>
      <c r="F17" s="17">
        <f>Reference_Inputs!R17/Reference_Inputs!F17</f>
        <v>0.40435606060606061</v>
      </c>
      <c r="G17" s="19">
        <f>Reference_Inputs!I17/Reference_Inputs!R17</f>
        <v>2.1077283372365339E-2</v>
      </c>
    </row>
    <row r="18" spans="1:7" x14ac:dyDescent="0.3">
      <c r="A18" t="s">
        <v>16</v>
      </c>
      <c r="B18" s="22">
        <f t="shared" si="0"/>
        <v>0.6009523809523809</v>
      </c>
      <c r="C18" s="17">
        <f>Reference_Inputs!O18/Reference_Inputs!L18</f>
        <v>3.3726812816188868E-2</v>
      </c>
      <c r="D18" s="18">
        <f>Reference_Inputs!P18</f>
        <v>5.0999999999999996</v>
      </c>
      <c r="E18" s="18">
        <v>5</v>
      </c>
      <c r="F18" s="17">
        <f>Reference_Inputs!R18/Reference_Inputs!F18</f>
        <v>0.39904761904761904</v>
      </c>
      <c r="G18" s="19">
        <f>Reference_Inputs!I18/Reference_Inputs!R18</f>
        <v>2.386634844868735E-2</v>
      </c>
    </row>
    <row r="19" spans="1:7" x14ac:dyDescent="0.3">
      <c r="A19" t="s">
        <v>17</v>
      </c>
      <c r="B19" s="22">
        <f t="shared" si="0"/>
        <v>0.55950266429840134</v>
      </c>
      <c r="C19" s="17">
        <f>Reference_Inputs!O19/Reference_Inputs!L19</f>
        <v>1.8612521150592216E-2</v>
      </c>
      <c r="D19" s="18">
        <f>Reference_Inputs!P19</f>
        <v>6.8</v>
      </c>
      <c r="E19" s="18">
        <v>5</v>
      </c>
      <c r="F19" s="17">
        <f>Reference_Inputs!R19/Reference_Inputs!F19</f>
        <v>0.4404973357015986</v>
      </c>
      <c r="G19" s="19">
        <f>Reference_Inputs!I19/Reference_Inputs!R19</f>
        <v>8.0645161290322578E-3</v>
      </c>
    </row>
    <row r="20" spans="1:7" x14ac:dyDescent="0.3">
      <c r="A20" t="s">
        <v>18</v>
      </c>
      <c r="B20" s="22">
        <f t="shared" si="0"/>
        <v>0.60934393638170969</v>
      </c>
      <c r="C20" s="17">
        <f>Reference_Inputs!O20/Reference_Inputs!L20</f>
        <v>2.6178010471204188E-2</v>
      </c>
      <c r="D20" s="18">
        <f>Reference_Inputs!P20</f>
        <v>6.1</v>
      </c>
      <c r="E20" s="18">
        <v>5</v>
      </c>
      <c r="F20" s="17">
        <f>Reference_Inputs!R20/Reference_Inputs!F20</f>
        <v>0.39065606361829025</v>
      </c>
      <c r="G20" s="19">
        <f>Reference_Inputs!I20/Reference_Inputs!R20</f>
        <v>2.7989821882951654E-2</v>
      </c>
    </row>
    <row r="21" spans="1:7" x14ac:dyDescent="0.3">
      <c r="A21" t="s">
        <v>19</v>
      </c>
      <c r="B21" s="22">
        <f t="shared" si="0"/>
        <v>0.58317399617590815</v>
      </c>
      <c r="C21" s="17">
        <f>Reference_Inputs!O21/Reference_Inputs!L21</f>
        <v>2.5225225225225224E-2</v>
      </c>
      <c r="D21" s="18">
        <f>Reference_Inputs!P21</f>
        <v>7.2</v>
      </c>
      <c r="E21" s="18">
        <v>5</v>
      </c>
      <c r="F21" s="17">
        <f>Reference_Inputs!R21/Reference_Inputs!F21</f>
        <v>0.4168260038240918</v>
      </c>
      <c r="G21" s="19">
        <f>Reference_Inputs!I21/Reference_Inputs!R21</f>
        <v>1.6055045871559634E-2</v>
      </c>
    </row>
    <row r="22" spans="1:7" x14ac:dyDescent="0.3">
      <c r="A22" t="s">
        <v>20</v>
      </c>
      <c r="B22" s="22">
        <f t="shared" si="0"/>
        <v>0.5542056074766355</v>
      </c>
      <c r="C22" s="17">
        <f>Reference_Inputs!O22/Reference_Inputs!L22</f>
        <v>2.7272727272727271E-2</v>
      </c>
      <c r="D22" s="18">
        <f>Reference_Inputs!P22</f>
        <v>5.8</v>
      </c>
      <c r="E22" s="18">
        <v>5</v>
      </c>
      <c r="F22" s="17">
        <f>Reference_Inputs!R22/Reference_Inputs!F22</f>
        <v>0.4457943925233645</v>
      </c>
      <c r="G22" s="19">
        <f>Reference_Inputs!I22/Reference_Inputs!R22</f>
        <v>1.8867924528301886E-2</v>
      </c>
    </row>
    <row r="23" spans="1:7" x14ac:dyDescent="0.3">
      <c r="A23" t="s">
        <v>21</v>
      </c>
      <c r="B23" s="22">
        <f t="shared" si="0"/>
        <v>0.58415841584158423</v>
      </c>
      <c r="C23" s="17">
        <f>Reference_Inputs!O23/Reference_Inputs!L23</f>
        <v>2.7472527472527472E-2</v>
      </c>
      <c r="D23" s="18">
        <f>Reference_Inputs!P23</f>
        <v>5.6</v>
      </c>
      <c r="E23" s="18">
        <v>5</v>
      </c>
      <c r="F23" s="17">
        <f>Reference_Inputs!R23/Reference_Inputs!F23</f>
        <v>0.41584158415841582</v>
      </c>
      <c r="G23" s="19">
        <f>Reference_Inputs!I23/Reference_Inputs!R23</f>
        <v>1.6666666666666666E-2</v>
      </c>
    </row>
    <row r="24" spans="1:7" x14ac:dyDescent="0.3">
      <c r="A24" t="s">
        <v>22</v>
      </c>
      <c r="B24" s="22">
        <f t="shared" si="0"/>
        <v>0.55813953488372092</v>
      </c>
      <c r="C24" s="17">
        <f>Reference_Inputs!O24/Reference_Inputs!L24</f>
        <v>3.6900369003690037E-2</v>
      </c>
      <c r="D24" s="18">
        <f>Reference_Inputs!P24</f>
        <v>5.3</v>
      </c>
      <c r="E24" s="18">
        <v>5</v>
      </c>
      <c r="F24" s="17">
        <f>Reference_Inputs!R24/Reference_Inputs!F24</f>
        <v>0.44186046511627908</v>
      </c>
      <c r="G24" s="19">
        <f>Reference_Inputs!I24/Reference_Inputs!R24</f>
        <v>1.8947368421052633E-2</v>
      </c>
    </row>
    <row r="25" spans="1:7" x14ac:dyDescent="0.3">
      <c r="A25" t="s">
        <v>23</v>
      </c>
      <c r="B25" s="22">
        <f t="shared" si="0"/>
        <v>0.56081081081081074</v>
      </c>
      <c r="C25" s="17">
        <f>Reference_Inputs!O25/Reference_Inputs!L25</f>
        <v>1.6635859519408502E-2</v>
      </c>
      <c r="D25" s="18">
        <f>Reference_Inputs!P25</f>
        <v>6.2</v>
      </c>
      <c r="E25" s="18">
        <v>5</v>
      </c>
      <c r="F25" s="17">
        <f>Reference_Inputs!R25/Reference_Inputs!F25</f>
        <v>0.4391891891891892</v>
      </c>
      <c r="G25" s="19">
        <f>Reference_Inputs!I25/Reference_Inputs!R25</f>
        <v>1.9780219780219779E-2</v>
      </c>
    </row>
    <row r="26" spans="1:7" x14ac:dyDescent="0.3">
      <c r="A26" t="s">
        <v>24</v>
      </c>
      <c r="B26" s="22">
        <f t="shared" si="0"/>
        <v>0.53517110266159695</v>
      </c>
      <c r="C26" s="17">
        <f>Reference_Inputs!O26/Reference_Inputs!L26</f>
        <v>2.4299065420560748E-2</v>
      </c>
      <c r="D26" s="18">
        <f>Reference_Inputs!P26</f>
        <v>6.9</v>
      </c>
      <c r="E26" s="18">
        <v>5</v>
      </c>
      <c r="F26" s="17">
        <f>Reference_Inputs!R26/Reference_Inputs!F26</f>
        <v>0.46482889733840305</v>
      </c>
      <c r="G26" s="19">
        <f>Reference_Inputs!I26/Reference_Inputs!R26</f>
        <v>2.0449897750511249E-2</v>
      </c>
    </row>
    <row r="27" spans="1:7" x14ac:dyDescent="0.3">
      <c r="A27" t="s">
        <v>25</v>
      </c>
      <c r="B27" s="22">
        <f t="shared" si="0"/>
        <v>0.51368049426301854</v>
      </c>
      <c r="C27" s="17">
        <f>Reference_Inputs!O27/Reference_Inputs!L27</f>
        <v>2.6168224299065422E-2</v>
      </c>
      <c r="D27" s="18">
        <f>Reference_Inputs!P27</f>
        <v>5.9</v>
      </c>
      <c r="E27" s="18">
        <v>5</v>
      </c>
      <c r="F27" s="17">
        <f>Reference_Inputs!R27/Reference_Inputs!F27</f>
        <v>0.48631950573698146</v>
      </c>
      <c r="G27" s="19">
        <f>Reference_Inputs!I27/Reference_Inputs!R27</f>
        <v>1.9963702359346643E-2</v>
      </c>
    </row>
    <row r="28" spans="1:7" x14ac:dyDescent="0.3">
      <c r="A28" t="s">
        <v>26</v>
      </c>
      <c r="B28" s="22">
        <f t="shared" si="0"/>
        <v>0.5256653992395437</v>
      </c>
      <c r="C28" s="17">
        <f>Reference_Inputs!O28/Reference_Inputs!L28</f>
        <v>1.5355086372360844E-2</v>
      </c>
      <c r="D28" s="18">
        <f>Reference_Inputs!P28</f>
        <v>6.1</v>
      </c>
      <c r="E28" s="18">
        <v>5</v>
      </c>
      <c r="F28" s="17">
        <f>Reference_Inputs!R28/Reference_Inputs!F28</f>
        <v>0.47433460076045625</v>
      </c>
      <c r="G28" s="19">
        <f>Reference_Inputs!I28/Reference_Inputs!R28</f>
        <v>2.2044088176352707E-2</v>
      </c>
    </row>
    <row r="29" spans="1:7" x14ac:dyDescent="0.3">
      <c r="A29" t="s">
        <v>27</v>
      </c>
      <c r="B29" s="22">
        <f t="shared" si="0"/>
        <v>0.53984819734345346</v>
      </c>
      <c r="C29" s="17">
        <f>Reference_Inputs!O29/Reference_Inputs!L29</f>
        <v>2.6923076923076925E-2</v>
      </c>
      <c r="D29" s="18">
        <f>Reference_Inputs!P29</f>
        <v>5.8</v>
      </c>
      <c r="E29" s="18">
        <v>5</v>
      </c>
      <c r="F29" s="17">
        <f>Reference_Inputs!R29/Reference_Inputs!F29</f>
        <v>0.46015180265654648</v>
      </c>
      <c r="G29" s="19">
        <f>Reference_Inputs!I29/Reference_Inputs!R29</f>
        <v>1.6494845360824743E-2</v>
      </c>
    </row>
    <row r="30" spans="1:7" x14ac:dyDescent="0.3">
      <c r="A30" t="s">
        <v>28</v>
      </c>
      <c r="B30" s="22">
        <f t="shared" si="0"/>
        <v>0.52294455066921608</v>
      </c>
      <c r="C30" s="17">
        <f>Reference_Inputs!O30/Reference_Inputs!L30</f>
        <v>2.7237354085603113E-2</v>
      </c>
      <c r="D30" s="18">
        <f>Reference_Inputs!P30</f>
        <v>7.7</v>
      </c>
      <c r="E30" s="18">
        <v>5</v>
      </c>
      <c r="F30" s="17">
        <f>Reference_Inputs!R30/Reference_Inputs!F30</f>
        <v>0.47705544933078392</v>
      </c>
      <c r="G30" s="19">
        <f>Reference_Inputs!I30/Reference_Inputs!R30</f>
        <v>2.004008016032064E-2</v>
      </c>
    </row>
    <row r="31" spans="1:7" x14ac:dyDescent="0.3">
      <c r="A31" t="s">
        <v>29</v>
      </c>
      <c r="B31" s="22">
        <f t="shared" si="0"/>
        <v>0.5147478591817316</v>
      </c>
      <c r="C31" s="17">
        <f>Reference_Inputs!O31/Reference_Inputs!L31</f>
        <v>2.5793650793650792E-2</v>
      </c>
      <c r="D31" s="18">
        <f>Reference_Inputs!P31</f>
        <v>5.9</v>
      </c>
      <c r="E31" s="18">
        <v>5</v>
      </c>
      <c r="F31" s="17">
        <f>Reference_Inputs!R31/Reference_Inputs!F31</f>
        <v>0.48525214081826834</v>
      </c>
      <c r="G31" s="19">
        <f>Reference_Inputs!I31/Reference_Inputs!R31</f>
        <v>9.8039215686274508E-3</v>
      </c>
    </row>
    <row r="32" spans="1:7" x14ac:dyDescent="0.3">
      <c r="A32" t="s">
        <v>30</v>
      </c>
      <c r="B32" s="22">
        <f t="shared" si="0"/>
        <v>0.56708595387840677</v>
      </c>
      <c r="C32" s="17">
        <f>Reference_Inputs!O32/Reference_Inputs!L32</f>
        <v>1.4141414141414142E-2</v>
      </c>
      <c r="D32" s="18">
        <f>Reference_Inputs!P32</f>
        <v>6.3</v>
      </c>
      <c r="E32" s="18">
        <v>5</v>
      </c>
      <c r="F32" s="17">
        <f>Reference_Inputs!R32/Reference_Inputs!F32</f>
        <v>0.43291404612159329</v>
      </c>
      <c r="G32" s="19">
        <f>Reference_Inputs!I32/Reference_Inputs!R32</f>
        <v>1.4527845036319613E-2</v>
      </c>
    </row>
    <row r="33" spans="1:7" x14ac:dyDescent="0.3">
      <c r="A33" t="s">
        <v>31</v>
      </c>
      <c r="B33" s="22">
        <f t="shared" si="0"/>
        <v>0.48837209302325579</v>
      </c>
      <c r="C33" s="17">
        <f>Reference_Inputs!O33/Reference_Inputs!L33</f>
        <v>2.0242914979757085E-2</v>
      </c>
      <c r="D33" s="18">
        <f>Reference_Inputs!P33</f>
        <v>6.5</v>
      </c>
      <c r="E33" s="18">
        <v>5</v>
      </c>
      <c r="F33" s="17">
        <f>Reference_Inputs!R33/Reference_Inputs!F33</f>
        <v>0.51162790697674421</v>
      </c>
      <c r="G33" s="19">
        <f>Reference_Inputs!I33/Reference_Inputs!R33</f>
        <v>1.090909090909091E-2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Game</vt:lpstr>
      <vt:lpstr>Reference_Inputs</vt:lpstr>
      <vt:lpstr>Pass</vt:lpstr>
      <vt:lpstr>Run</vt:lpstr>
      <vt:lpstr>Field_Goal</vt:lpstr>
      <vt:lpstr>Punt</vt:lpstr>
      <vt:lpstr>Percentages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Verleye</dc:creator>
  <cp:lastModifiedBy>Thomas Geissler</cp:lastModifiedBy>
  <dcterms:created xsi:type="dcterms:W3CDTF">2022-06-23T10:24:50Z</dcterms:created>
  <dcterms:modified xsi:type="dcterms:W3CDTF">2022-06-30T13:53:06Z</dcterms:modified>
</cp:coreProperties>
</file>